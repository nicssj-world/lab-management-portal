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เคมีคลินิก" sheetId="1" r:id="rId1"/>
    <sheet name="ภูมิคุ้มกันวิทยา" sheetId="2" r:id="rId2"/>
    <sheet name="โลหิตวิทยา" sheetId="3" r:id="rId3"/>
    <sheet name="จุลทรรศน์วิทยาคลินิก" sheetId="4" r:id="rId4"/>
    <sheet name="จุลชีววิทยา" sheetId="5" r:id="rId5"/>
    <sheet name="อณูพันธุศาสตร์" sheetId="6" r:id="rId6"/>
    <sheet name="ธนาคารเลือด" sheetId="7" r:id="rId7"/>
    <sheet name="ตรวจพิเศษและปฏิบัติการตรวจต่อ" sheetId="8" r:id="rId8"/>
    <sheet name="ศสม.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6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B3" t="str">
        <v>ADA</v>
      </c>
      <c r="E3">
        <v>35</v>
      </c>
      <c r="F3">
        <v>56</v>
      </c>
      <c r="G3">
        <v>26</v>
      </c>
      <c r="H3">
        <v>52</v>
      </c>
      <c r="I3">
        <v>38</v>
      </c>
      <c r="J3">
        <v>58</v>
      </c>
      <c r="K3">
        <v>41</v>
      </c>
      <c r="L3">
        <v>61</v>
      </c>
      <c r="M3">
        <v>33</v>
      </c>
      <c r="N3">
        <v>59</v>
      </c>
      <c r="O3">
        <v>42</v>
      </c>
      <c r="P3">
        <v>65</v>
      </c>
      <c r="AC3">
        <f>SUM(F3,H3,J3,L3,N3,P3,R3,T3,V3,X3,Z3,AB3)</f>
        <v>351</v>
      </c>
    </row>
    <row r="4">
      <c r="B4" t="str">
        <v>ALBUMIN</v>
      </c>
      <c r="E4">
        <v>3880</v>
      </c>
      <c r="F4">
        <v>8168</v>
      </c>
      <c r="G4">
        <v>3785</v>
      </c>
      <c r="H4">
        <v>7988</v>
      </c>
      <c r="I4">
        <v>3850</v>
      </c>
      <c r="J4">
        <v>8103</v>
      </c>
      <c r="K4">
        <v>3689</v>
      </c>
      <c r="L4">
        <v>8254</v>
      </c>
      <c r="M4">
        <v>3954</v>
      </c>
      <c r="N4">
        <v>8455</v>
      </c>
      <c r="O4">
        <v>3896</v>
      </c>
      <c r="P4">
        <v>8263</v>
      </c>
      <c r="AC4">
        <f>SUM(F4,H4,J4,L4,N4,P4,R4,T4,V4,X4,Z4,AB4)</f>
        <v>49231</v>
      </c>
    </row>
    <row r="5">
      <c r="B5" t="str">
        <v>Alkaline phosphatase</v>
      </c>
      <c r="E5">
        <v>3890</v>
      </c>
      <c r="F5">
        <v>8110</v>
      </c>
      <c r="G5">
        <v>3812</v>
      </c>
      <c r="H5">
        <v>8341</v>
      </c>
      <c r="I5">
        <v>3941</v>
      </c>
      <c r="J5">
        <v>8156</v>
      </c>
      <c r="K5">
        <v>3877</v>
      </c>
      <c r="L5">
        <v>5201</v>
      </c>
      <c r="M5">
        <v>3854</v>
      </c>
      <c r="N5">
        <v>8278</v>
      </c>
      <c r="O5">
        <v>3789</v>
      </c>
      <c r="P5">
        <v>8296</v>
      </c>
      <c r="AC5">
        <f>SUM(F5,H5,J5,L5,N5,P5,R5,T5,V5,X5,Z5,AB5)</f>
        <v>46382</v>
      </c>
    </row>
    <row r="6">
      <c r="B6" t="str">
        <v>Ammonia</v>
      </c>
      <c r="E6">
        <v>4</v>
      </c>
      <c r="F6">
        <v>6</v>
      </c>
      <c r="G6">
        <v>3</v>
      </c>
      <c r="H6">
        <v>8</v>
      </c>
      <c r="I6">
        <v>4</v>
      </c>
      <c r="J6">
        <v>10</v>
      </c>
      <c r="K6">
        <v>5</v>
      </c>
      <c r="L6">
        <v>9</v>
      </c>
      <c r="M6">
        <v>7</v>
      </c>
      <c r="N6">
        <v>11</v>
      </c>
      <c r="O6">
        <v>4</v>
      </c>
      <c r="P6">
        <v>9</v>
      </c>
      <c r="AC6">
        <f>SUM(F6,H6,J6,L6,N6,P6,R6,T6,V6,X6,Z6,AB6)</f>
        <v>53</v>
      </c>
    </row>
    <row r="7">
      <c r="B7" t="str">
        <v>Amylase</v>
      </c>
      <c r="E7">
        <v>161</v>
      </c>
      <c r="F7">
        <v>561</v>
      </c>
      <c r="G7">
        <v>159</v>
      </c>
      <c r="H7">
        <v>546</v>
      </c>
      <c r="I7">
        <v>158</v>
      </c>
      <c r="J7">
        <v>559</v>
      </c>
      <c r="K7">
        <v>187</v>
      </c>
      <c r="L7">
        <v>587</v>
      </c>
      <c r="M7">
        <v>158</v>
      </c>
      <c r="N7">
        <v>536</v>
      </c>
      <c r="O7">
        <v>136</v>
      </c>
      <c r="P7">
        <v>542</v>
      </c>
      <c r="AC7">
        <f>SUM(F7,H7,J7,L7,N7,P7,R7,T7,V7,X7,Z7,AB7)</f>
        <v>3331</v>
      </c>
    </row>
    <row r="8">
      <c r="B8" t="str">
        <v>Anti streptolyin-O (ASO)-quantitative</v>
      </c>
      <c r="E8">
        <v>4</v>
      </c>
      <c r="F8">
        <v>6</v>
      </c>
      <c r="G8">
        <v>3</v>
      </c>
      <c r="H8">
        <v>7</v>
      </c>
      <c r="I8">
        <v>4</v>
      </c>
      <c r="J8">
        <v>7</v>
      </c>
      <c r="K8">
        <v>5</v>
      </c>
      <c r="L8">
        <v>9</v>
      </c>
      <c r="M8">
        <v>4</v>
      </c>
      <c r="N8">
        <v>8</v>
      </c>
      <c r="O8">
        <v>5</v>
      </c>
      <c r="P8">
        <v>8</v>
      </c>
      <c r="AC8">
        <f>SUM(F8,H8,J8,L8,N8,P8,R8,T8,V8,X8,Z8,AB8)</f>
        <v>45</v>
      </c>
    </row>
    <row r="9">
      <c r="B9" t="str">
        <v>Bilirubin(direct)</v>
      </c>
      <c r="E9">
        <v>3221</v>
      </c>
      <c r="F9">
        <v>7030</v>
      </c>
      <c r="G9">
        <v>3122</v>
      </c>
      <c r="H9">
        <v>6987</v>
      </c>
      <c r="I9">
        <v>3354</v>
      </c>
      <c r="J9">
        <v>7432</v>
      </c>
      <c r="K9">
        <v>3256</v>
      </c>
      <c r="L9">
        <v>7100</v>
      </c>
      <c r="M9">
        <v>3158</v>
      </c>
      <c r="N9">
        <v>7145</v>
      </c>
      <c r="O9">
        <v>3358</v>
      </c>
      <c r="P9">
        <v>7422</v>
      </c>
      <c r="AC9">
        <f>SUM(F9,H9,J9,L9,N9,P9,R9,T9,V9,X9,Z9,AB9)</f>
        <v>43116</v>
      </c>
    </row>
    <row r="10">
      <c r="B10" t="str">
        <v>Bilirubin(total)</v>
      </c>
      <c r="E10">
        <v>3261</v>
      </c>
      <c r="F10">
        <v>7085</v>
      </c>
      <c r="G10">
        <v>3234</v>
      </c>
      <c r="H10">
        <v>7009</v>
      </c>
      <c r="I10">
        <v>3354</v>
      </c>
      <c r="J10">
        <v>7356</v>
      </c>
      <c r="K10">
        <v>3358</v>
      </c>
      <c r="L10">
        <v>7088</v>
      </c>
      <c r="M10">
        <v>3222</v>
      </c>
      <c r="N10">
        <v>7014</v>
      </c>
      <c r="O10">
        <v>3256</v>
      </c>
      <c r="P10">
        <v>7358</v>
      </c>
      <c r="AC10">
        <f>SUM(F10,H10,J10,L10,N10,P10,R10,T10,V10,X10,Z10,AB10)</f>
        <v>42910</v>
      </c>
    </row>
    <row r="11">
      <c r="B11" t="str">
        <v>Blood gas Analysis</v>
      </c>
      <c r="E11">
        <v>398</v>
      </c>
      <c r="F11">
        <v>1457</v>
      </c>
      <c r="G11">
        <v>367</v>
      </c>
      <c r="H11">
        <v>1456</v>
      </c>
      <c r="I11">
        <v>389</v>
      </c>
      <c r="J11">
        <v>1560</v>
      </c>
      <c r="K11">
        <v>410</v>
      </c>
      <c r="L11">
        <v>1577</v>
      </c>
      <c r="M11">
        <v>398</v>
      </c>
      <c r="N11">
        <v>1588</v>
      </c>
      <c r="O11">
        <v>378</v>
      </c>
      <c r="P11">
        <v>1455</v>
      </c>
      <c r="AC11">
        <f>SUM(F11,H11,J11,L11,N11,P11,R11,T11,V11,X11,Z11,AB11)</f>
        <v>9093</v>
      </c>
    </row>
    <row r="12">
      <c r="B12" t="str">
        <v>BUN(urea nitrogen)</v>
      </c>
      <c r="E12">
        <v>6100</v>
      </c>
      <c r="F12">
        <v>15300</v>
      </c>
      <c r="G12">
        <v>5988</v>
      </c>
      <c r="H12">
        <v>14877</v>
      </c>
      <c r="I12">
        <v>6210</v>
      </c>
      <c r="J12">
        <v>14995</v>
      </c>
      <c r="K12">
        <v>6089</v>
      </c>
      <c r="L12">
        <v>15844</v>
      </c>
      <c r="M12">
        <v>6258</v>
      </c>
      <c r="N12">
        <v>16872</v>
      </c>
      <c r="O12">
        <v>6354</v>
      </c>
      <c r="P12">
        <v>16844</v>
      </c>
      <c r="AC12">
        <f>SUM(F12,H12,J12,L12,N12,P12,R12,T12,V12,X12,Z12,AB12)</f>
        <v>94732</v>
      </c>
    </row>
    <row r="13">
      <c r="B13" t="str">
        <v>C3 complement</v>
      </c>
      <c r="E13">
        <v>34</v>
      </c>
      <c r="F13">
        <v>50</v>
      </c>
      <c r="G13">
        <v>34</v>
      </c>
      <c r="H13">
        <v>48</v>
      </c>
      <c r="I13">
        <v>36</v>
      </c>
      <c r="J13">
        <v>52</v>
      </c>
      <c r="K13">
        <v>35</v>
      </c>
      <c r="L13">
        <v>62</v>
      </c>
      <c r="M13">
        <v>33</v>
      </c>
      <c r="N13">
        <v>54</v>
      </c>
      <c r="O13">
        <v>38</v>
      </c>
      <c r="P13">
        <v>66</v>
      </c>
      <c r="AC13">
        <f>SUM(F13,H13,J13,L13,N13,P13,R13,T13,V13,X13,Z13,AB13)</f>
        <v>332</v>
      </c>
    </row>
    <row r="14">
      <c r="B14" t="str">
        <v>Calcium(total)</v>
      </c>
      <c r="E14">
        <v>1689</v>
      </c>
      <c r="F14">
        <v>4612</v>
      </c>
      <c r="G14">
        <v>1654</v>
      </c>
      <c r="H14">
        <v>4587</v>
      </c>
      <c r="I14">
        <v>1655</v>
      </c>
      <c r="J14">
        <v>4782</v>
      </c>
      <c r="K14">
        <v>1698</v>
      </c>
      <c r="L14">
        <v>4620</v>
      </c>
      <c r="M14">
        <v>1788</v>
      </c>
      <c r="N14">
        <v>4851</v>
      </c>
      <c r="O14">
        <v>1655</v>
      </c>
      <c r="P14">
        <v>4723</v>
      </c>
      <c r="AC14">
        <f>SUM(F14,H14,J14,L14,N14,P14,R14,T14,V14,X14,Z14,AB14)</f>
        <v>28175</v>
      </c>
    </row>
    <row r="15">
      <c r="B15" t="str">
        <v>Carbamazepine</v>
      </c>
      <c r="E15">
        <v>3</v>
      </c>
      <c r="F15">
        <v>3</v>
      </c>
      <c r="G15">
        <v>3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AC15">
        <f>SUM(F15,H15,J15,L15,N15,P15,R15,T15,V15,X15,Z15,AB15)</f>
        <v>6</v>
      </c>
    </row>
    <row r="16">
      <c r="B16" t="str">
        <v>Cholesterol(total)</v>
      </c>
      <c r="E16">
        <v>2908</v>
      </c>
      <c r="F16">
        <v>4867</v>
      </c>
      <c r="G16">
        <v>1765</v>
      </c>
      <c r="H16">
        <v>4756</v>
      </c>
      <c r="I16">
        <v>3011</v>
      </c>
      <c r="J16">
        <v>4852</v>
      </c>
      <c r="K16">
        <v>2952</v>
      </c>
      <c r="L16">
        <v>4963</v>
      </c>
      <c r="M16">
        <v>2896</v>
      </c>
      <c r="N16">
        <v>4956</v>
      </c>
      <c r="O16">
        <v>3025</v>
      </c>
      <c r="P16">
        <v>4985</v>
      </c>
      <c r="AC16">
        <f>SUM(F16,H16,J16,L16,N16,P16,R16,T16,V16,X16,Z16,AB16)</f>
        <v>29379</v>
      </c>
    </row>
    <row r="17">
      <c r="B17" t="str">
        <v>CK</v>
      </c>
      <c r="E17">
        <v>125</v>
      </c>
      <c r="F17">
        <v>310</v>
      </c>
      <c r="G17">
        <v>123</v>
      </c>
      <c r="H17">
        <v>324</v>
      </c>
      <c r="I17">
        <v>135</v>
      </c>
      <c r="J17">
        <v>321</v>
      </c>
      <c r="K17">
        <v>125</v>
      </c>
      <c r="L17">
        <v>315</v>
      </c>
      <c r="M17">
        <v>128</v>
      </c>
      <c r="N17">
        <v>340</v>
      </c>
      <c r="O17">
        <v>132</v>
      </c>
      <c r="P17">
        <v>325</v>
      </c>
      <c r="AC17">
        <f>SUM(F17,H17,J17,L17,N17,P17,R17,T17,V17,X17,Z17,AB17)</f>
        <v>1935</v>
      </c>
    </row>
    <row r="18">
      <c r="B18" t="str">
        <v>CK-MB</v>
      </c>
      <c r="E18">
        <v>30</v>
      </c>
      <c r="F18">
        <v>96</v>
      </c>
      <c r="G18">
        <v>26</v>
      </c>
      <c r="H18">
        <v>101</v>
      </c>
      <c r="I18">
        <v>32</v>
      </c>
      <c r="J18">
        <v>102</v>
      </c>
      <c r="K18">
        <v>28</v>
      </c>
      <c r="L18">
        <v>112</v>
      </c>
      <c r="M18">
        <v>30</v>
      </c>
      <c r="N18">
        <v>98</v>
      </c>
      <c r="O18">
        <v>36</v>
      </c>
      <c r="P18">
        <v>109</v>
      </c>
      <c r="AC18">
        <f>SUM(F18,H18,J18,L18,N18,P18,R18,T18,V18,X18,Z18,AB18)</f>
        <v>618</v>
      </c>
    </row>
    <row r="19">
      <c r="B19" t="str">
        <v>Cortisol (CMIA)</v>
      </c>
      <c r="E19">
        <v>71</v>
      </c>
      <c r="F19">
        <v>209</v>
      </c>
      <c r="G19">
        <v>68</v>
      </c>
      <c r="H19">
        <v>213</v>
      </c>
      <c r="I19">
        <v>74</v>
      </c>
      <c r="J19">
        <v>211</v>
      </c>
      <c r="K19">
        <v>72</v>
      </c>
      <c r="L19">
        <v>213</v>
      </c>
      <c r="M19">
        <v>73</v>
      </c>
      <c r="N19">
        <v>230</v>
      </c>
      <c r="O19">
        <v>75</v>
      </c>
      <c r="P19">
        <v>221</v>
      </c>
      <c r="AC19">
        <f>SUM(F19,H19,J19,L19,N19,P19,R19,T19,V19,X19,Z19,AB19)</f>
        <v>1297</v>
      </c>
    </row>
    <row r="20">
      <c r="B20" t="str">
        <v>C-reactive protein (Quantitative)</v>
      </c>
      <c r="E20">
        <v>612</v>
      </c>
      <c r="F20">
        <v>1194</v>
      </c>
      <c r="G20">
        <v>567</v>
      </c>
      <c r="H20">
        <v>1134</v>
      </c>
      <c r="I20">
        <v>610</v>
      </c>
      <c r="J20">
        <v>1255</v>
      </c>
      <c r="K20">
        <v>598</v>
      </c>
      <c r="L20">
        <v>1200</v>
      </c>
      <c r="M20">
        <v>569</v>
      </c>
      <c r="N20">
        <v>1203</v>
      </c>
      <c r="O20">
        <v>612</v>
      </c>
      <c r="P20">
        <v>1175</v>
      </c>
      <c r="AC20">
        <f>SUM(F20,H20,J20,L20,N20,P20,R20,T20,V20,X20,Z20,AB20)</f>
        <v>7161</v>
      </c>
    </row>
    <row r="21">
      <c r="B21" t="str">
        <v>Creatinine</v>
      </c>
      <c r="E21">
        <v>9123</v>
      </c>
      <c r="F21">
        <v>20125</v>
      </c>
      <c r="G21">
        <v>8978</v>
      </c>
      <c r="H21">
        <v>19833</v>
      </c>
      <c r="I21">
        <v>9854</v>
      </c>
      <c r="J21">
        <v>21023</v>
      </c>
      <c r="K21">
        <v>9356</v>
      </c>
      <c r="L21">
        <v>20899</v>
      </c>
      <c r="M21">
        <v>9546</v>
      </c>
      <c r="N21">
        <v>21563</v>
      </c>
      <c r="O21">
        <v>9421</v>
      </c>
      <c r="P21">
        <v>23541</v>
      </c>
      <c r="AC21">
        <f>SUM(F21,H21,J21,L21,N21,P21,R21,T21,V21,X21,Z21,AB21)</f>
        <v>126984</v>
      </c>
    </row>
    <row r="22">
      <c r="B22" t="str">
        <v>Lanoxin</v>
      </c>
      <c r="E22">
        <v>7</v>
      </c>
      <c r="F22">
        <v>15</v>
      </c>
      <c r="G22">
        <v>6</v>
      </c>
      <c r="H22">
        <v>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AC22">
        <f>SUM(F22,H22,J22,L22,N22,P22,R22,T22,V22,X22,Z22,AB22)</f>
        <v>32</v>
      </c>
    </row>
    <row r="23">
      <c r="B23" t="str">
        <v>Estradiol (CMIA)</v>
      </c>
      <c r="E23">
        <v>41</v>
      </c>
      <c r="F23">
        <v>49</v>
      </c>
      <c r="G23">
        <v>34</v>
      </c>
      <c r="H23">
        <v>56</v>
      </c>
      <c r="I23">
        <v>35</v>
      </c>
      <c r="J23">
        <v>49</v>
      </c>
      <c r="K23">
        <v>39</v>
      </c>
      <c r="L23">
        <v>51</v>
      </c>
      <c r="M23">
        <v>42</v>
      </c>
      <c r="N23">
        <v>49</v>
      </c>
      <c r="O23">
        <v>38</v>
      </c>
      <c r="P23">
        <v>50</v>
      </c>
      <c r="AC23">
        <f>SUM(F23,H23,J23,L23,N23,P23,R23,T23,V23,X23,Z23,AB23)</f>
        <v>304</v>
      </c>
    </row>
    <row r="24">
      <c r="B24" t="str">
        <v>Ferritin</v>
      </c>
      <c r="E24">
        <v>465</v>
      </c>
      <c r="F24">
        <v>710</v>
      </c>
      <c r="G24">
        <v>432</v>
      </c>
      <c r="H24">
        <v>687</v>
      </c>
      <c r="I24">
        <v>456</v>
      </c>
      <c r="J24">
        <v>720</v>
      </c>
      <c r="K24">
        <v>485</v>
      </c>
      <c r="L24">
        <v>810</v>
      </c>
      <c r="M24">
        <v>496</v>
      </c>
      <c r="N24">
        <v>698</v>
      </c>
      <c r="O24">
        <v>478</v>
      </c>
      <c r="P24">
        <v>723</v>
      </c>
      <c r="AC24">
        <f>SUM(F24,H24,J24,L24,N24,P24,R24,T24,V24,X24,Z24,AB24)</f>
        <v>4348</v>
      </c>
    </row>
    <row r="25">
      <c r="B25" t="str">
        <v>Free T3 (CMIA)</v>
      </c>
      <c r="E25">
        <v>678</v>
      </c>
      <c r="F25">
        <v>1210</v>
      </c>
      <c r="G25">
        <v>654</v>
      </c>
      <c r="H25">
        <v>1123</v>
      </c>
      <c r="I25">
        <v>695</v>
      </c>
      <c r="J25">
        <v>1325</v>
      </c>
      <c r="K25">
        <v>710</v>
      </c>
      <c r="L25">
        <v>1346</v>
      </c>
      <c r="M25">
        <v>709</v>
      </c>
      <c r="N25">
        <v>1354</v>
      </c>
      <c r="O25">
        <v>699</v>
      </c>
      <c r="P25">
        <v>1320</v>
      </c>
      <c r="AC25">
        <f>SUM(F25,H25,J25,L25,N25,P25,R25,T25,V25,X25,Z25,AB25)</f>
        <v>7678</v>
      </c>
    </row>
    <row r="26">
      <c r="B26" t="str">
        <v>Free T4 (CMIA)</v>
      </c>
      <c r="E26">
        <v>842</v>
      </c>
      <c r="F26">
        <v>1478</v>
      </c>
      <c r="G26">
        <v>832</v>
      </c>
      <c r="H26">
        <v>1398</v>
      </c>
      <c r="I26">
        <v>832</v>
      </c>
      <c r="J26">
        <v>1485</v>
      </c>
      <c r="K26">
        <v>856</v>
      </c>
      <c r="L26">
        <v>1542</v>
      </c>
      <c r="M26">
        <v>899</v>
      </c>
      <c r="N26">
        <v>1541</v>
      </c>
      <c r="O26">
        <v>842</v>
      </c>
      <c r="P26">
        <v>1463</v>
      </c>
      <c r="AC26">
        <f>SUM(F26,H26,J26,L26,N26,P26,R26,T26,V26,X26,Z26,AB26)</f>
        <v>8907</v>
      </c>
    </row>
    <row r="27">
      <c r="B27" t="str">
        <v>FSH (CMIA)</v>
      </c>
      <c r="E27">
        <v>49</v>
      </c>
      <c r="F27">
        <v>58</v>
      </c>
      <c r="G27">
        <v>53</v>
      </c>
      <c r="H27">
        <v>64</v>
      </c>
      <c r="I27">
        <v>45</v>
      </c>
      <c r="J27">
        <v>61</v>
      </c>
      <c r="K27">
        <v>51</v>
      </c>
      <c r="L27">
        <v>58</v>
      </c>
      <c r="M27">
        <v>48</v>
      </c>
      <c r="N27">
        <v>57</v>
      </c>
      <c r="O27">
        <v>46</v>
      </c>
      <c r="P27">
        <v>57</v>
      </c>
      <c r="AC27">
        <f>SUM(F27,H27,J27,L27,N27,P27,R27,T27,V27,X27,Z27,AB27)</f>
        <v>355</v>
      </c>
    </row>
    <row r="28">
      <c r="B28" t="str">
        <v>Gamma GT</v>
      </c>
      <c r="E28">
        <v>22</v>
      </c>
      <c r="F28">
        <v>69</v>
      </c>
      <c r="G28">
        <v>16</v>
      </c>
      <c r="H28">
        <v>71</v>
      </c>
      <c r="I28">
        <v>23</v>
      </c>
      <c r="J28">
        <v>71</v>
      </c>
      <c r="K28">
        <v>25</v>
      </c>
      <c r="L28">
        <v>68</v>
      </c>
      <c r="M28">
        <v>24</v>
      </c>
      <c r="N28">
        <v>74</v>
      </c>
      <c r="O28">
        <v>25</v>
      </c>
      <c r="P28">
        <v>69</v>
      </c>
      <c r="AC28">
        <f>SUM(F28,H28,J28,L28,N28,P28,R28,T28,V28,X28,Z28,AB28)</f>
        <v>422</v>
      </c>
    </row>
    <row r="29">
      <c r="B29" t="str">
        <v>Glucose</v>
      </c>
      <c r="E29">
        <v>4311</v>
      </c>
      <c r="F29">
        <v>7340</v>
      </c>
      <c r="G29">
        <v>4211</v>
      </c>
      <c r="H29">
        <v>7231</v>
      </c>
      <c r="I29">
        <v>4521</v>
      </c>
      <c r="J29">
        <v>7520</v>
      </c>
      <c r="K29">
        <v>4456</v>
      </c>
      <c r="L29">
        <v>7436</v>
      </c>
      <c r="M29">
        <v>4398</v>
      </c>
      <c r="N29">
        <v>7542</v>
      </c>
      <c r="O29">
        <v>4410</v>
      </c>
      <c r="P29">
        <v>7469</v>
      </c>
      <c r="AC29">
        <f>SUM(F29,H29,J29,L29,N29,P29,R29,T29,V29,X29,Z29,AB29)</f>
        <v>44538</v>
      </c>
    </row>
    <row r="30">
      <c r="B30" t="str">
        <v>HbA1C</v>
      </c>
      <c r="E30">
        <v>2100</v>
      </c>
      <c r="F30">
        <v>3980</v>
      </c>
      <c r="G30">
        <v>1988</v>
      </c>
      <c r="H30">
        <v>3986</v>
      </c>
      <c r="I30">
        <v>2200</v>
      </c>
      <c r="J30">
        <v>4022</v>
      </c>
      <c r="K30">
        <v>2310</v>
      </c>
      <c r="L30">
        <v>3988</v>
      </c>
      <c r="M30">
        <v>2245</v>
      </c>
      <c r="N30">
        <v>4210</v>
      </c>
      <c r="O30">
        <v>2341</v>
      </c>
      <c r="P30">
        <v>3987</v>
      </c>
      <c r="AC30">
        <f>SUM(F30,H30,J30,L30,N30,P30,R30,T30,V30,X30,Z30,AB30)</f>
        <v>24173</v>
      </c>
    </row>
    <row r="31">
      <c r="B31" t="str">
        <v>HDL-Cholesterol</v>
      </c>
      <c r="E31">
        <v>2712</v>
      </c>
      <c r="F31">
        <v>4651</v>
      </c>
      <c r="G31">
        <v>2765</v>
      </c>
      <c r="H31">
        <v>4578</v>
      </c>
      <c r="I31">
        <v>2654</v>
      </c>
      <c r="J31">
        <v>4568</v>
      </c>
      <c r="K31">
        <v>2715</v>
      </c>
      <c r="L31">
        <v>4689</v>
      </c>
      <c r="M31">
        <v>2755</v>
      </c>
      <c r="N31">
        <v>4758</v>
      </c>
      <c r="O31">
        <v>2841</v>
      </c>
      <c r="P31">
        <v>4856</v>
      </c>
      <c r="AC31">
        <f>SUM(F31,H31,J31,L31,N31,P31,R31,T31,V31,X31,Z31,AB31)</f>
        <v>28100</v>
      </c>
    </row>
    <row r="32">
      <c r="B32" t="str">
        <v>UIBC</v>
      </c>
      <c r="E32">
        <v>299</v>
      </c>
      <c r="F32">
        <v>447</v>
      </c>
      <c r="G32">
        <v>278</v>
      </c>
      <c r="H32">
        <v>443</v>
      </c>
      <c r="I32">
        <v>310</v>
      </c>
      <c r="J32">
        <v>458</v>
      </c>
      <c r="K32">
        <v>289</v>
      </c>
      <c r="L32">
        <v>487</v>
      </c>
      <c r="M32">
        <v>325</v>
      </c>
      <c r="N32">
        <v>458</v>
      </c>
      <c r="O32">
        <v>302</v>
      </c>
      <c r="P32">
        <v>475</v>
      </c>
      <c r="AC32">
        <f>SUM(F32,H32,J32,L32,N32,P32,R32,T32,V32,X32,Z32,AB32)</f>
        <v>2768</v>
      </c>
    </row>
    <row r="33">
      <c r="B33" t="str">
        <v>Iron(Fe)</v>
      </c>
      <c r="E33">
        <v>302</v>
      </c>
      <c r="F33">
        <v>451</v>
      </c>
      <c r="G33">
        <v>298</v>
      </c>
      <c r="H33">
        <v>461</v>
      </c>
      <c r="I33">
        <v>310</v>
      </c>
      <c r="J33">
        <v>456</v>
      </c>
      <c r="K33">
        <v>299</v>
      </c>
      <c r="L33">
        <v>460</v>
      </c>
      <c r="M33">
        <v>312</v>
      </c>
      <c r="N33">
        <v>460</v>
      </c>
      <c r="O33">
        <v>311</v>
      </c>
      <c r="P33">
        <v>485</v>
      </c>
      <c r="AC33">
        <f>SUM(F33,H33,J33,L33,N33,P33,R33,T33,V33,X33,Z33,AB33)</f>
        <v>2773</v>
      </c>
    </row>
    <row r="34">
      <c r="B34" t="str">
        <v>Ketone-serum</v>
      </c>
      <c r="E34">
        <v>115</v>
      </c>
      <c r="F34">
        <v>318</v>
      </c>
      <c r="G34">
        <v>113</v>
      </c>
      <c r="H34">
        <v>324</v>
      </c>
      <c r="I34">
        <v>120</v>
      </c>
      <c r="J34">
        <v>321</v>
      </c>
      <c r="K34">
        <v>123</v>
      </c>
      <c r="L34">
        <v>317</v>
      </c>
      <c r="M34">
        <v>134</v>
      </c>
      <c r="N34">
        <v>365</v>
      </c>
      <c r="O34">
        <v>125</v>
      </c>
      <c r="P34">
        <v>320</v>
      </c>
      <c r="AC34">
        <f>SUM(F34,H34,J34,L34,N34,P34,R34,T34,V34,X34,Z34,AB34)</f>
        <v>1965</v>
      </c>
    </row>
    <row r="35">
      <c r="B35" t="str">
        <v>Lactate</v>
      </c>
      <c r="E35">
        <v>763</v>
      </c>
      <c r="F35">
        <v>2780</v>
      </c>
      <c r="G35">
        <v>756</v>
      </c>
      <c r="H35">
        <v>2768</v>
      </c>
      <c r="I35">
        <v>752</v>
      </c>
      <c r="J35">
        <v>2854</v>
      </c>
      <c r="K35">
        <v>741</v>
      </c>
      <c r="L35">
        <v>2841</v>
      </c>
      <c r="M35">
        <v>785</v>
      </c>
      <c r="N35">
        <v>2954</v>
      </c>
      <c r="O35">
        <v>745</v>
      </c>
      <c r="P35">
        <v>2810</v>
      </c>
      <c r="AC35">
        <f>SUM(F35,H35,J35,L35,N35,P35,R35,T35,V35,X35,Z35,AB35)</f>
        <v>17007</v>
      </c>
    </row>
    <row r="36">
      <c r="B36" t="str">
        <v>LDH</v>
      </c>
      <c r="E36">
        <v>240</v>
      </c>
      <c r="F36">
        <v>451</v>
      </c>
      <c r="G36">
        <v>231</v>
      </c>
      <c r="H36">
        <v>432</v>
      </c>
      <c r="I36">
        <v>245</v>
      </c>
      <c r="J36">
        <v>465</v>
      </c>
      <c r="K36">
        <v>256</v>
      </c>
      <c r="L36">
        <v>489</v>
      </c>
      <c r="M36">
        <v>263</v>
      </c>
      <c r="N36">
        <v>469</v>
      </c>
      <c r="O36">
        <v>239</v>
      </c>
      <c r="P36">
        <v>441</v>
      </c>
      <c r="AC36">
        <f>SUM(F36,H36,J36,L36,N36,P36,R36,T36,V36,X36,Z36,AB36)</f>
        <v>2747</v>
      </c>
    </row>
    <row r="37">
      <c r="B37" t="str">
        <v>LDL Cholesterol (direct)</v>
      </c>
      <c r="E37">
        <v>546</v>
      </c>
      <c r="F37">
        <v>883</v>
      </c>
      <c r="G37">
        <v>564</v>
      </c>
      <c r="H37">
        <v>876</v>
      </c>
      <c r="I37">
        <v>556</v>
      </c>
      <c r="J37">
        <v>921</v>
      </c>
      <c r="K37">
        <v>569</v>
      </c>
      <c r="L37">
        <v>899</v>
      </c>
      <c r="M37">
        <v>536</v>
      </c>
      <c r="N37">
        <v>895</v>
      </c>
      <c r="O37">
        <v>558</v>
      </c>
      <c r="P37">
        <v>926</v>
      </c>
      <c r="AC37">
        <f>SUM(F37,H37,J37,L37,N37,P37,R37,T37,V37,X37,Z37,AB37)</f>
        <v>5400</v>
      </c>
    </row>
    <row r="38">
      <c r="B38" t="str">
        <v>LH (CMIA)</v>
      </c>
      <c r="E38">
        <v>34</v>
      </c>
      <c r="F38">
        <v>42</v>
      </c>
      <c r="G38">
        <v>32</v>
      </c>
      <c r="H38">
        <v>45</v>
      </c>
      <c r="I38">
        <v>39</v>
      </c>
      <c r="J38">
        <v>44</v>
      </c>
      <c r="K38">
        <v>35</v>
      </c>
      <c r="L38">
        <v>41</v>
      </c>
      <c r="M38">
        <v>37</v>
      </c>
      <c r="N38">
        <v>49</v>
      </c>
      <c r="O38">
        <v>33</v>
      </c>
      <c r="P38">
        <v>41</v>
      </c>
      <c r="AC38">
        <f>SUM(F38,H38,J38,L38,N38,P38,R38,T38,V38,X38,Z38,AB38)</f>
        <v>262</v>
      </c>
    </row>
    <row r="39">
      <c r="B39" t="str">
        <v>Lipase</v>
      </c>
      <c r="E39">
        <v>75</v>
      </c>
      <c r="F39">
        <v>227</v>
      </c>
      <c r="G39">
        <v>76</v>
      </c>
      <c r="H39">
        <v>231</v>
      </c>
      <c r="I39">
        <v>74</v>
      </c>
      <c r="J39">
        <v>225</v>
      </c>
      <c r="K39">
        <v>81</v>
      </c>
      <c r="L39">
        <v>230</v>
      </c>
      <c r="M39">
        <v>81</v>
      </c>
      <c r="N39">
        <v>235</v>
      </c>
      <c r="O39">
        <v>81</v>
      </c>
      <c r="P39">
        <v>235</v>
      </c>
      <c r="AC39">
        <f>SUM(F39,H39,J39,L39,N39,P39,R39,T39,V39,X39,Z39,AB39)</f>
        <v>1383</v>
      </c>
    </row>
    <row r="40">
      <c r="B40" t="str">
        <v>Magnesium</v>
      </c>
      <c r="E40">
        <v>1178</v>
      </c>
      <c r="F40">
        <v>3794</v>
      </c>
      <c r="G40">
        <v>1123</v>
      </c>
      <c r="H40">
        <v>3765</v>
      </c>
      <c r="I40">
        <v>1210</v>
      </c>
      <c r="J40">
        <v>3820</v>
      </c>
      <c r="K40">
        <v>1243</v>
      </c>
      <c r="L40">
        <v>3785</v>
      </c>
      <c r="M40">
        <v>1189</v>
      </c>
      <c r="N40">
        <v>3841</v>
      </c>
      <c r="O40">
        <v>1246</v>
      </c>
      <c r="P40">
        <v>3786</v>
      </c>
      <c r="AC40">
        <f>SUM(F40,H40,J40,L40,N40,P40,R40,T40,V40,X40,Z40,AB40)</f>
        <v>22791</v>
      </c>
    </row>
    <row r="41">
      <c r="B41" t="str">
        <v>Microalbumin</v>
      </c>
      <c r="E41">
        <v>328</v>
      </c>
      <c r="F41">
        <v>567</v>
      </c>
      <c r="G41">
        <v>345</v>
      </c>
      <c r="H41">
        <v>543</v>
      </c>
      <c r="I41">
        <v>332</v>
      </c>
      <c r="J41">
        <v>563</v>
      </c>
      <c r="K41">
        <v>339</v>
      </c>
      <c r="L41">
        <v>587</v>
      </c>
      <c r="M41">
        <v>345</v>
      </c>
      <c r="N41">
        <v>578</v>
      </c>
      <c r="O41">
        <v>389</v>
      </c>
      <c r="P41">
        <v>584</v>
      </c>
      <c r="AC41">
        <f>SUM(F41,H41,J41,L41,N41,P41,R41,T41,V41,X41,Z41,AB41)</f>
        <v>3422</v>
      </c>
    </row>
    <row r="42">
      <c r="B42" t="str">
        <v>Microbilirubin(MB)</v>
      </c>
      <c r="E42">
        <v>388</v>
      </c>
      <c r="F42">
        <v>863</v>
      </c>
      <c r="G42">
        <v>346</v>
      </c>
      <c r="H42">
        <v>879</v>
      </c>
      <c r="I42">
        <v>402</v>
      </c>
      <c r="J42">
        <v>898</v>
      </c>
      <c r="K42">
        <v>398</v>
      </c>
      <c r="L42">
        <v>902</v>
      </c>
      <c r="M42">
        <v>415</v>
      </c>
      <c r="N42">
        <v>913</v>
      </c>
      <c r="O42">
        <v>389</v>
      </c>
      <c r="P42">
        <v>885</v>
      </c>
      <c r="AC42">
        <f>SUM(F42,H42,J42,L42,N42,P42,R42,T42,V42,X42,Z42,AB42)</f>
        <v>5340</v>
      </c>
    </row>
    <row r="43">
      <c r="B43" t="str">
        <v>Hct(centrifuge)</v>
      </c>
      <c r="E43">
        <v>534</v>
      </c>
      <c r="F43">
        <v>1211</v>
      </c>
      <c r="G43">
        <v>511</v>
      </c>
      <c r="H43">
        <v>1245</v>
      </c>
      <c r="I43">
        <v>542</v>
      </c>
      <c r="J43">
        <v>1321</v>
      </c>
      <c r="K43">
        <v>541</v>
      </c>
      <c r="L43">
        <v>1345</v>
      </c>
      <c r="M43">
        <v>562</v>
      </c>
      <c r="N43">
        <v>1288</v>
      </c>
      <c r="O43">
        <v>541</v>
      </c>
      <c r="P43">
        <v>1320</v>
      </c>
      <c r="AC43">
        <f>SUM(F43,H43,J43,L43,N43,P43,R43,T43,V43,X43,Z43,AB43)</f>
        <v>7730</v>
      </c>
    </row>
    <row r="44">
      <c r="B44" t="str">
        <v>NT-proBNP</v>
      </c>
      <c r="E44">
        <v>83</v>
      </c>
      <c r="F44">
        <v>200</v>
      </c>
      <c r="G44">
        <v>73</v>
      </c>
      <c r="H44">
        <v>210</v>
      </c>
      <c r="I44">
        <v>84</v>
      </c>
      <c r="J44">
        <v>215</v>
      </c>
      <c r="K44">
        <v>95</v>
      </c>
      <c r="L44">
        <v>224</v>
      </c>
      <c r="M44">
        <v>89</v>
      </c>
      <c r="N44">
        <v>210</v>
      </c>
      <c r="O44">
        <v>94</v>
      </c>
      <c r="P44">
        <v>234</v>
      </c>
      <c r="AC44">
        <f>SUM(F44,H44,J44,L44,N44,P44,R44,T44,V44,X44,Z44,AB44)</f>
        <v>1293</v>
      </c>
    </row>
    <row r="45">
      <c r="B45" t="str">
        <v>Osmolality</v>
      </c>
      <c r="E45">
        <v>112</v>
      </c>
      <c r="F45">
        <v>257</v>
      </c>
      <c r="G45">
        <v>111</v>
      </c>
      <c r="H45">
        <v>253</v>
      </c>
      <c r="I45">
        <v>115</v>
      </c>
      <c r="J45">
        <v>364</v>
      </c>
      <c r="K45">
        <v>120</v>
      </c>
      <c r="L45">
        <v>268</v>
      </c>
      <c r="M45">
        <v>132</v>
      </c>
      <c r="N45">
        <v>278</v>
      </c>
      <c r="O45">
        <v>134</v>
      </c>
      <c r="P45">
        <v>268</v>
      </c>
      <c r="AC45">
        <f>SUM(F45,H45,J45,L45,N45,P45,R45,T45,V45,X45,Z45,AB45)</f>
        <v>1688</v>
      </c>
    </row>
    <row r="46">
      <c r="B46" t="str">
        <v>Phenobarbital</v>
      </c>
      <c r="E46">
        <v>1</v>
      </c>
      <c r="F46">
        <v>9</v>
      </c>
      <c r="G46">
        <v>1</v>
      </c>
      <c r="H46">
        <v>10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AC46">
        <f>SUM(F46,H46,J46,L46,N46,P46,R46,T46,V46,X46,Z46,AB46)</f>
        <v>19</v>
      </c>
    </row>
    <row r="47">
      <c r="B47" t="str">
        <v>Phenytoin Sodium</v>
      </c>
      <c r="E47">
        <v>12</v>
      </c>
      <c r="F47">
        <v>22</v>
      </c>
      <c r="G47">
        <v>8</v>
      </c>
      <c r="H47">
        <v>23</v>
      </c>
      <c r="I47">
        <v>15</v>
      </c>
      <c r="J47">
        <v>25</v>
      </c>
      <c r="K47">
        <v>18</v>
      </c>
      <c r="L47">
        <v>26</v>
      </c>
      <c r="M47">
        <v>16</v>
      </c>
      <c r="N47">
        <v>24</v>
      </c>
      <c r="O47">
        <v>12</v>
      </c>
      <c r="P47">
        <v>22</v>
      </c>
      <c r="AC47">
        <f>SUM(F47,H47,J47,L47,N47,P47,R47,T47,V47,X47,Z47,AB47)</f>
        <v>142</v>
      </c>
    </row>
    <row r="48">
      <c r="B48" t="str">
        <v>Phosphorus</v>
      </c>
      <c r="E48">
        <v>1765</v>
      </c>
      <c r="F48">
        <v>4376</v>
      </c>
      <c r="G48">
        <v>1654</v>
      </c>
      <c r="H48">
        <v>4233</v>
      </c>
      <c r="I48">
        <v>1812</v>
      </c>
      <c r="J48">
        <v>4435</v>
      </c>
      <c r="K48">
        <v>1798</v>
      </c>
      <c r="L48">
        <v>4325</v>
      </c>
      <c r="M48">
        <v>1896</v>
      </c>
      <c r="N48">
        <v>4425</v>
      </c>
      <c r="O48">
        <v>1841</v>
      </c>
      <c r="P48">
        <v>4421</v>
      </c>
      <c r="AC48">
        <f>SUM(F48,H48,J48,L48,N48,P48,R48,T48,V48,X48,Z48,AB48)</f>
        <v>26215</v>
      </c>
    </row>
    <row r="49">
      <c r="B49" t="str">
        <v>Electrolyte</v>
      </c>
      <c r="E49">
        <v>5890</v>
      </c>
      <c r="F49">
        <v>19845</v>
      </c>
      <c r="G49">
        <v>5766</v>
      </c>
      <c r="H49">
        <v>18996</v>
      </c>
      <c r="I49">
        <v>5961</v>
      </c>
      <c r="J49">
        <v>19852</v>
      </c>
      <c r="K49">
        <v>6025</v>
      </c>
      <c r="L49">
        <v>21561</v>
      </c>
      <c r="M49">
        <v>6102</v>
      </c>
      <c r="N49">
        <v>21546</v>
      </c>
      <c r="O49">
        <v>21354</v>
      </c>
      <c r="P49">
        <v>21873</v>
      </c>
      <c r="AC49">
        <f>SUM(F49,H49,J49,L49,N49,P49,R49,T49,V49,X49,Z49,AB49)</f>
        <v>123673</v>
      </c>
    </row>
    <row r="50">
      <c r="B50" t="str">
        <v>Progesterone (CMIA)</v>
      </c>
      <c r="E50">
        <v>3</v>
      </c>
      <c r="F50">
        <v>4</v>
      </c>
      <c r="G50">
        <v>3</v>
      </c>
      <c r="H50">
        <v>5</v>
      </c>
      <c r="I50">
        <v>4</v>
      </c>
      <c r="J50">
        <v>5</v>
      </c>
      <c r="K50">
        <v>3</v>
      </c>
      <c r="L50">
        <v>4</v>
      </c>
      <c r="M50">
        <v>3</v>
      </c>
      <c r="N50">
        <v>5</v>
      </c>
      <c r="O50">
        <v>4</v>
      </c>
      <c r="P50">
        <v>4</v>
      </c>
      <c r="AC50">
        <f>SUM(F50,H50,J50,L50,N50,P50,R50,T50,V50,X50,Z50,AB50)</f>
        <v>27</v>
      </c>
    </row>
    <row r="51">
      <c r="B51" t="str">
        <v>Prolactin (CMIA)</v>
      </c>
      <c r="E51">
        <v>35</v>
      </c>
      <c r="F51">
        <v>43</v>
      </c>
      <c r="G51">
        <v>32</v>
      </c>
      <c r="H51">
        <v>44</v>
      </c>
      <c r="I51">
        <v>36</v>
      </c>
      <c r="J51">
        <v>44</v>
      </c>
      <c r="K51">
        <v>39</v>
      </c>
      <c r="L51">
        <v>51</v>
      </c>
      <c r="M51">
        <v>38</v>
      </c>
      <c r="N51">
        <v>45</v>
      </c>
      <c r="O51">
        <v>37</v>
      </c>
      <c r="P51">
        <v>47</v>
      </c>
      <c r="AC51">
        <f>SUM(F51,H51,J51,L51,N51,P51,R51,T51,V51,X51,Z51,AB51)</f>
        <v>274</v>
      </c>
    </row>
    <row r="52">
      <c r="B52" t="str">
        <v>Protein(total)</v>
      </c>
      <c r="E52">
        <v>3100</v>
      </c>
      <c r="F52">
        <v>6750</v>
      </c>
      <c r="G52">
        <v>2988</v>
      </c>
      <c r="H52">
        <v>6678</v>
      </c>
      <c r="I52">
        <v>3245</v>
      </c>
      <c r="J52">
        <v>6845</v>
      </c>
      <c r="K52">
        <v>3189</v>
      </c>
      <c r="L52">
        <v>6723</v>
      </c>
      <c r="M52">
        <v>3214</v>
      </c>
      <c r="N52">
        <v>6785</v>
      </c>
      <c r="O52">
        <v>3249</v>
      </c>
      <c r="P52">
        <v>6780</v>
      </c>
      <c r="AC52">
        <f>SUM(F52,H52,J52,L52,N52,P52,R52,T52,V52,X52,Z52,AB52)</f>
        <v>40561</v>
      </c>
    </row>
    <row r="53">
      <c r="B53" t="str">
        <v>Protein-Urine/CSF</v>
      </c>
      <c r="E53">
        <v>285</v>
      </c>
      <c r="F53">
        <v>480</v>
      </c>
      <c r="G53">
        <v>274</v>
      </c>
      <c r="H53">
        <v>478</v>
      </c>
      <c r="I53">
        <v>284</v>
      </c>
      <c r="J53">
        <v>485</v>
      </c>
      <c r="K53">
        <v>285</v>
      </c>
      <c r="L53">
        <v>289</v>
      </c>
      <c r="M53">
        <v>291</v>
      </c>
      <c r="N53">
        <v>495</v>
      </c>
      <c r="O53">
        <v>395</v>
      </c>
      <c r="P53">
        <v>497</v>
      </c>
      <c r="AC53">
        <f>SUM(F53,H53,J53,L53,N53,P53,R53,T53,V53,X53,Z53,AB53)</f>
        <v>2724</v>
      </c>
    </row>
    <row r="54">
      <c r="B54" t="str">
        <v>PTH intact (CMIA)</v>
      </c>
      <c r="E54">
        <v>231</v>
      </c>
      <c r="F54">
        <v>314</v>
      </c>
      <c r="G54">
        <v>241</v>
      </c>
      <c r="H54">
        <v>322</v>
      </c>
      <c r="I54">
        <v>241</v>
      </c>
      <c r="J54">
        <v>321</v>
      </c>
      <c r="K54">
        <v>243</v>
      </c>
      <c r="L54">
        <v>354</v>
      </c>
      <c r="M54">
        <v>256</v>
      </c>
      <c r="N54">
        <v>348</v>
      </c>
      <c r="O54">
        <v>248</v>
      </c>
      <c r="P54">
        <v>312</v>
      </c>
      <c r="AC54">
        <f>SUM(F54,H54,J54,L54,N54,P54,R54,T54,V54,X54,Z54,AB54)</f>
        <v>1971</v>
      </c>
    </row>
    <row r="55">
      <c r="B55" t="str">
        <v>Rheumatoid facter(Quantitative)</v>
      </c>
      <c r="E55">
        <v>32</v>
      </c>
      <c r="F55">
        <v>36</v>
      </c>
      <c r="G55">
        <v>27</v>
      </c>
      <c r="H55">
        <v>35</v>
      </c>
      <c r="I55">
        <v>33</v>
      </c>
      <c r="J55">
        <v>35</v>
      </c>
      <c r="K55">
        <v>38</v>
      </c>
      <c r="L55">
        <v>41</v>
      </c>
      <c r="M55">
        <v>35</v>
      </c>
      <c r="N55">
        <v>40</v>
      </c>
      <c r="O55">
        <v>38</v>
      </c>
      <c r="P55">
        <v>42</v>
      </c>
      <c r="AC55">
        <f>SUM(F55,H55,J55,L55,N55,P55,R55,T55,V55,X55,Z55,AB55)</f>
        <v>229</v>
      </c>
    </row>
    <row r="56">
      <c r="B56" t="str">
        <v>SGOT(AST)</v>
      </c>
      <c r="E56">
        <v>4898</v>
      </c>
      <c r="F56">
        <v>9877</v>
      </c>
      <c r="G56">
        <v>4788</v>
      </c>
      <c r="H56">
        <v>9861</v>
      </c>
      <c r="I56">
        <v>5120</v>
      </c>
      <c r="J56">
        <v>9987</v>
      </c>
      <c r="K56">
        <v>4998</v>
      </c>
      <c r="L56">
        <v>10222</v>
      </c>
      <c r="M56">
        <v>5102</v>
      </c>
      <c r="N56">
        <v>9965</v>
      </c>
      <c r="O56">
        <v>4985</v>
      </c>
      <c r="P56">
        <v>9865</v>
      </c>
      <c r="AC56">
        <f>SUM(F56,H56,J56,L56,N56,P56,R56,T56,V56,X56,Z56,AB56)</f>
        <v>59777</v>
      </c>
    </row>
    <row r="57">
      <c r="B57" t="str">
        <v>SGPT(ALT)</v>
      </c>
      <c r="E57">
        <v>5401</v>
      </c>
      <c r="F57">
        <v>10376</v>
      </c>
      <c r="G57">
        <v>5367</v>
      </c>
      <c r="H57">
        <v>9956</v>
      </c>
      <c r="I57">
        <v>5510</v>
      </c>
      <c r="J57">
        <v>10254</v>
      </c>
      <c r="K57">
        <v>5568</v>
      </c>
      <c r="L57">
        <v>11253</v>
      </c>
      <c r="M57">
        <v>5621</v>
      </c>
      <c r="N57">
        <v>11245</v>
      </c>
      <c r="O57">
        <v>5501</v>
      </c>
      <c r="P57">
        <v>10950</v>
      </c>
      <c r="AC57">
        <f>SUM(F57,H57,J57,L57,N57,P57,R57,T57,V57,X57,Z57,AB57)</f>
        <v>64034</v>
      </c>
    </row>
    <row r="58">
      <c r="B58" t="str">
        <v>Theo-Dur (Aminophylline)</v>
      </c>
      <c r="E58" t="str">
        <v>-</v>
      </c>
      <c r="F58">
        <v>2</v>
      </c>
      <c r="G58">
        <v>1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AC58">
        <f>SUM(F58,H58,J58,L58,N58,P58,R58,T58,V58,X58,Z58,AB58)</f>
        <v>4</v>
      </c>
    </row>
    <row r="59">
      <c r="B59" t="str">
        <v>Total CO2</v>
      </c>
      <c r="E59">
        <v>5580</v>
      </c>
      <c r="F59">
        <v>17988</v>
      </c>
      <c r="G59">
        <v>5432</v>
      </c>
      <c r="H59">
        <v>16998</v>
      </c>
      <c r="I59">
        <v>5698</v>
      </c>
      <c r="J59">
        <v>18562</v>
      </c>
      <c r="K59">
        <v>5726</v>
      </c>
      <c r="L59">
        <v>18540</v>
      </c>
      <c r="M59">
        <v>5652</v>
      </c>
      <c r="N59">
        <v>18023</v>
      </c>
      <c r="O59">
        <v>5580</v>
      </c>
      <c r="P59">
        <v>18540</v>
      </c>
      <c r="AC59">
        <f>SUM(F59,H59,J59,L59,N59,P59,R59,T59,V59,X59,Z59,AB59)</f>
        <v>108651</v>
      </c>
    </row>
    <row r="60">
      <c r="B60" t="str">
        <v>Total T3 (CMIA)</v>
      </c>
      <c r="E60">
        <v>40</v>
      </c>
      <c r="F60">
        <v>73</v>
      </c>
      <c r="G60">
        <v>41</v>
      </c>
      <c r="H60">
        <v>71</v>
      </c>
      <c r="I60">
        <v>41</v>
      </c>
      <c r="J60">
        <v>77</v>
      </c>
      <c r="K60">
        <v>40</v>
      </c>
      <c r="L60">
        <v>74</v>
      </c>
      <c r="M60">
        <v>39</v>
      </c>
      <c r="N60">
        <v>72</v>
      </c>
      <c r="O60">
        <v>45</v>
      </c>
      <c r="P60">
        <v>73</v>
      </c>
      <c r="AC60">
        <f>SUM(F60,H60,J60,L60,N60,P60,R60,T60,V60,X60,Z60,AB60)</f>
        <v>440</v>
      </c>
    </row>
    <row r="61">
      <c r="B61" t="str">
        <v>Triglyceride</v>
      </c>
      <c r="E61">
        <v>2756</v>
      </c>
      <c r="F61">
        <v>4856</v>
      </c>
      <c r="G61">
        <v>2645</v>
      </c>
      <c r="H61">
        <v>4755</v>
      </c>
      <c r="I61">
        <v>2658</v>
      </c>
      <c r="J61">
        <v>4952</v>
      </c>
      <c r="K61">
        <v>2789</v>
      </c>
      <c r="L61">
        <v>4952</v>
      </c>
      <c r="M61">
        <v>2895</v>
      </c>
      <c r="N61">
        <v>4896</v>
      </c>
      <c r="O61">
        <v>2899</v>
      </c>
      <c r="P61">
        <v>4921</v>
      </c>
      <c r="AC61">
        <f>SUM(F61,H61,J61,L61,N61,P61,R61,T61,V61,X61,Z61,AB61)</f>
        <v>29332</v>
      </c>
    </row>
    <row r="62">
      <c r="B62" t="str">
        <v>Troponin T hs</v>
      </c>
      <c r="E62">
        <v>199</v>
      </c>
      <c r="F62">
        <v>586</v>
      </c>
      <c r="G62">
        <v>167</v>
      </c>
      <c r="H62">
        <v>532</v>
      </c>
      <c r="I62">
        <v>210</v>
      </c>
      <c r="J62">
        <v>549</v>
      </c>
      <c r="K62">
        <v>235</v>
      </c>
      <c r="L62">
        <v>621</v>
      </c>
      <c r="M62">
        <v>202</v>
      </c>
      <c r="N62">
        <v>587</v>
      </c>
      <c r="O62">
        <v>211</v>
      </c>
      <c r="P62">
        <v>284</v>
      </c>
      <c r="AC62">
        <f>SUM(F62,H62,J62,L62,N62,P62,R62,T62,V62,X62,Z62,AB62)</f>
        <v>3159</v>
      </c>
    </row>
    <row r="63">
      <c r="B63" t="str">
        <v>TSH (CMIA)</v>
      </c>
      <c r="E63">
        <v>945</v>
      </c>
      <c r="F63">
        <v>1617</v>
      </c>
      <c r="G63">
        <v>934</v>
      </c>
      <c r="H63">
        <v>1656</v>
      </c>
      <c r="I63">
        <v>962</v>
      </c>
      <c r="J63">
        <v>1720</v>
      </c>
      <c r="K63">
        <v>1002</v>
      </c>
      <c r="L63">
        <v>1703</v>
      </c>
      <c r="M63">
        <v>998</v>
      </c>
      <c r="N63">
        <v>1721</v>
      </c>
      <c r="O63">
        <v>1020</v>
      </c>
      <c r="P63">
        <v>1745</v>
      </c>
      <c r="AC63">
        <f>SUM(F63,H63,J63,L63,N63,P63,R63,T63,V63,X63,Z63,AB63)</f>
        <v>10162</v>
      </c>
    </row>
    <row r="64">
      <c r="B64" t="str">
        <v>Uric acid</v>
      </c>
      <c r="E64">
        <v>1234</v>
      </c>
      <c r="F64">
        <v>1839</v>
      </c>
      <c r="G64">
        <v>1321</v>
      </c>
      <c r="H64">
        <v>1873</v>
      </c>
      <c r="I64">
        <v>1320</v>
      </c>
      <c r="J64">
        <v>1899</v>
      </c>
      <c r="K64">
        <v>1159</v>
      </c>
      <c r="L64">
        <v>1839</v>
      </c>
      <c r="M64">
        <v>1245</v>
      </c>
      <c r="N64">
        <v>1954</v>
      </c>
      <c r="O64">
        <v>1320</v>
      </c>
      <c r="P64">
        <v>1954</v>
      </c>
      <c r="AC64">
        <f>SUM(F64,H64,J64,L64,N64,P64,R64,T64,V64,X64,Z64,AB64)</f>
        <v>11358</v>
      </c>
    </row>
    <row r="65">
      <c r="B65" t="str">
        <v>Valproic acid</v>
      </c>
      <c r="E65">
        <v>8</v>
      </c>
      <c r="F65">
        <v>15</v>
      </c>
      <c r="G65">
        <v>7</v>
      </c>
      <c r="H65">
        <v>15</v>
      </c>
      <c r="I65">
        <v>7</v>
      </c>
      <c r="J65">
        <v>15</v>
      </c>
      <c r="K65">
        <v>10</v>
      </c>
      <c r="L65">
        <v>16</v>
      </c>
      <c r="M65">
        <v>7</v>
      </c>
      <c r="N65">
        <v>13</v>
      </c>
      <c r="O65">
        <v>5</v>
      </c>
      <c r="P65">
        <v>14</v>
      </c>
      <c r="AC65">
        <f>SUM(F65,H65,J65,L65,N65,P65,R65,T65,V65,X65,Z65,AB65)</f>
        <v>88</v>
      </c>
    </row>
    <row r="66">
      <c r="B66" t="str">
        <v>Vancomycin</v>
      </c>
      <c r="E66">
        <v>30</v>
      </c>
      <c r="F66">
        <v>65</v>
      </c>
      <c r="G66">
        <v>34</v>
      </c>
      <c r="H66">
        <v>66</v>
      </c>
      <c r="I66">
        <v>33</v>
      </c>
      <c r="J66">
        <v>69</v>
      </c>
      <c r="K66">
        <v>35</v>
      </c>
      <c r="L66">
        <v>65</v>
      </c>
      <c r="M66">
        <v>34</v>
      </c>
      <c r="N66">
        <v>64</v>
      </c>
      <c r="O66">
        <v>36</v>
      </c>
      <c r="P66">
        <v>59</v>
      </c>
      <c r="AC66">
        <f>SUM(F66,H66,J66,L66,N66,P66,R66,T66,V66,X66,Z66,AB66)</f>
        <v>388</v>
      </c>
    </row>
    <row r="67">
      <c r="B67" t="str">
        <v>Grand Total</v>
      </c>
      <c r="E67">
        <f>SUM(E3:E66)</f>
        <v>84218</v>
      </c>
      <c r="F67">
        <f>SUM(F3:F66)</f>
        <v>190469</v>
      </c>
      <c r="G67">
        <f>SUM(G3:G66)</f>
        <v>81296</v>
      </c>
      <c r="H67">
        <f>SUM(H3:H66)</f>
        <v>186565</v>
      </c>
      <c r="I67">
        <v>86451</v>
      </c>
      <c r="J67">
        <v>193711</v>
      </c>
      <c r="K67">
        <v>85757</v>
      </c>
      <c r="L67">
        <v>193636</v>
      </c>
      <c r="M67">
        <v>86576</v>
      </c>
      <c r="N67">
        <v>198790</v>
      </c>
      <c r="O67">
        <v>101899</v>
      </c>
      <c r="P67">
        <v>200614</v>
      </c>
      <c r="AC67">
        <f>SUM(F67,H67,J67,L67,N67,P67,R67,T67,V67,X67,Z67,AB67)</f>
        <v>1163785</v>
      </c>
    </row>
    <row r="68">
      <c r="B68" t="str">
        <v>Tacrolimus</v>
      </c>
      <c r="AC68">
        <f>SUM(F68,H68,J68,L68,N68,P68,R68,T68,V68,X68,Z68,AB68)</f>
        <v>0</v>
      </c>
    </row>
    <row r="69">
      <c r="B69" t="str">
        <v>Cyclosporine</v>
      </c>
    </row>
    <row r="70">
      <c r="B70" t="str">
        <v>Dilantin</v>
      </c>
    </row>
    <row r="71">
      <c r="B71" t="str">
        <v>Depakene</v>
      </c>
    </row>
  </sheetData>
  <mergeCells count="17">
    <mergeCell ref="G1:H1"/>
    <mergeCell ref="I1:J1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numberStoredAsText="1" sqref="A1:AE10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05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A3" t="str">
        <v>30060</v>
      </c>
      <c r="B3" t="str">
        <v>AFP</v>
      </c>
      <c r="C3" t="str">
        <v>37302</v>
      </c>
      <c r="D3">
        <v>250</v>
      </c>
      <c r="E3">
        <v>453</v>
      </c>
      <c r="F3">
        <v>471</v>
      </c>
      <c r="G3">
        <v>485</v>
      </c>
      <c r="H3">
        <v>491</v>
      </c>
      <c r="I3">
        <v>476</v>
      </c>
      <c r="J3">
        <v>497</v>
      </c>
      <c r="K3">
        <v>619</v>
      </c>
      <c r="L3">
        <v>631</v>
      </c>
      <c r="M3">
        <v>515</v>
      </c>
      <c r="N3">
        <v>583</v>
      </c>
      <c r="O3">
        <v>592</v>
      </c>
      <c r="P3">
        <v>665</v>
      </c>
      <c r="Q3">
        <v>490</v>
      </c>
      <c r="R3">
        <v>558</v>
      </c>
      <c r="AC3">
        <f>SUM(F3+H3+J3+L3+N3+P3+R3+T3+V3+X3+Z3+AB3)</f>
        <v>3896</v>
      </c>
    </row>
    <row r="4">
      <c r="A4" t="str">
        <v>106</v>
      </c>
      <c r="B4" t="str">
        <v>ANA Profile 2 (12 Antigen)</v>
      </c>
      <c r="C4" t="str">
        <v>-</v>
      </c>
      <c r="D4">
        <v>1600</v>
      </c>
      <c r="E4">
        <v>14</v>
      </c>
      <c r="F4">
        <v>14</v>
      </c>
      <c r="G4">
        <v>9</v>
      </c>
      <c r="H4">
        <v>12</v>
      </c>
      <c r="I4">
        <v>16</v>
      </c>
      <c r="J4">
        <v>16</v>
      </c>
      <c r="K4">
        <v>19</v>
      </c>
      <c r="L4">
        <v>19</v>
      </c>
      <c r="M4">
        <v>12</v>
      </c>
      <c r="N4">
        <v>14</v>
      </c>
      <c r="O4">
        <v>19</v>
      </c>
      <c r="P4">
        <v>20</v>
      </c>
      <c r="Q4">
        <v>8</v>
      </c>
      <c r="R4">
        <v>8</v>
      </c>
      <c r="AC4">
        <f>SUM(F4+H4+J4+L4+N4+P4+R4+T4+V4+X4+Z4+AB4)</f>
        <v>103</v>
      </c>
    </row>
    <row r="5">
      <c r="A5" t="str">
        <v>30057</v>
      </c>
      <c r="B5" t="str">
        <v>Anti ds DNA (Fluid)</v>
      </c>
      <c r="C5" t="str">
        <v>37004</v>
      </c>
      <c r="D5">
        <v>210</v>
      </c>
      <c r="E5">
        <v>1</v>
      </c>
      <c r="F5">
        <v>1</v>
      </c>
      <c r="G5">
        <v>2</v>
      </c>
      <c r="H5">
        <v>3</v>
      </c>
      <c r="I5">
        <v>1</v>
      </c>
      <c r="J5">
        <v>1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AC5">
        <f>SUM(F5+H5+J5+L5+N5+P5+R5+T5+V5+X5+Z5+AB5)</f>
        <v>7</v>
      </c>
    </row>
    <row r="6">
      <c r="A6" t="str">
        <v>30056</v>
      </c>
      <c r="B6" t="str">
        <v>Anti ds DNA (serum)</v>
      </c>
      <c r="C6" t="str">
        <v>37004</v>
      </c>
      <c r="D6">
        <v>210</v>
      </c>
      <c r="E6">
        <v>41</v>
      </c>
      <c r="F6">
        <v>43</v>
      </c>
      <c r="G6">
        <v>23</v>
      </c>
      <c r="H6">
        <v>35</v>
      </c>
      <c r="I6">
        <v>35</v>
      </c>
      <c r="J6">
        <v>39</v>
      </c>
      <c r="K6">
        <v>27</v>
      </c>
      <c r="L6">
        <v>34</v>
      </c>
      <c r="M6">
        <v>32</v>
      </c>
      <c r="N6">
        <v>41</v>
      </c>
      <c r="O6">
        <v>15</v>
      </c>
      <c r="P6">
        <v>24</v>
      </c>
      <c r="Q6">
        <v>25</v>
      </c>
      <c r="R6">
        <v>33</v>
      </c>
      <c r="AC6">
        <f>SUM(F6+H6+J6+L6+N6+P6+R6+T6+V6+X6+Z6+AB6)</f>
        <v>249</v>
      </c>
    </row>
    <row r="7">
      <c r="A7" t="str">
        <v>30040</v>
      </c>
      <c r="B7" t="str">
        <v>Anti HBc (IgG)</v>
      </c>
      <c r="C7" t="str">
        <v>36311</v>
      </c>
      <c r="D7">
        <v>200</v>
      </c>
      <c r="E7">
        <v>40</v>
      </c>
      <c r="F7">
        <v>53</v>
      </c>
      <c r="G7">
        <v>28</v>
      </c>
      <c r="H7">
        <v>42</v>
      </c>
      <c r="I7">
        <v>32</v>
      </c>
      <c r="J7">
        <v>53</v>
      </c>
      <c r="K7">
        <v>34</v>
      </c>
      <c r="L7">
        <v>46</v>
      </c>
      <c r="M7">
        <v>43</v>
      </c>
      <c r="N7">
        <v>52</v>
      </c>
      <c r="O7">
        <v>37</v>
      </c>
      <c r="P7">
        <v>50</v>
      </c>
      <c r="Q7">
        <v>29</v>
      </c>
      <c r="R7">
        <v>37</v>
      </c>
      <c r="AC7">
        <f>SUM(F7+H7+J7+L7+N7+P7+R7+T7+V7+X7+Z7+AB7)</f>
        <v>333</v>
      </c>
    </row>
    <row r="8">
      <c r="A8" t="str">
        <v>30043</v>
      </c>
      <c r="B8" t="str">
        <v>Anti HBe</v>
      </c>
      <c r="C8" t="str">
        <v>36315</v>
      </c>
      <c r="D8">
        <v>300</v>
      </c>
      <c r="E8">
        <v>27</v>
      </c>
      <c r="F8">
        <v>29</v>
      </c>
      <c r="G8">
        <v>19</v>
      </c>
      <c r="H8">
        <v>20</v>
      </c>
      <c r="I8">
        <v>18</v>
      </c>
      <c r="J8">
        <v>18</v>
      </c>
      <c r="K8">
        <v>16</v>
      </c>
      <c r="L8">
        <v>16</v>
      </c>
      <c r="M8">
        <v>11</v>
      </c>
      <c r="N8">
        <v>11</v>
      </c>
      <c r="O8">
        <v>12</v>
      </c>
      <c r="P8">
        <v>16</v>
      </c>
      <c r="Q8">
        <v>15</v>
      </c>
      <c r="R8">
        <v>16</v>
      </c>
      <c r="AC8">
        <f>SUM(F8+H8+J8+L8+N8+P8+R8+T8+V8+X8+Z8+AB8)</f>
        <v>126</v>
      </c>
    </row>
    <row r="9">
      <c r="A9" t="str">
        <v>30039</v>
      </c>
      <c r="B9" t="str">
        <v>Anti HBs</v>
      </c>
      <c r="C9" t="str">
        <v>36317</v>
      </c>
      <c r="D9">
        <v>150</v>
      </c>
      <c r="E9">
        <v>538</v>
      </c>
      <c r="F9">
        <v>857</v>
      </c>
      <c r="G9">
        <v>546</v>
      </c>
      <c r="H9">
        <v>708</v>
      </c>
      <c r="I9">
        <v>581</v>
      </c>
      <c r="J9">
        <v>778</v>
      </c>
      <c r="K9">
        <v>593</v>
      </c>
      <c r="L9">
        <v>766</v>
      </c>
      <c r="M9">
        <v>462</v>
      </c>
      <c r="N9">
        <v>597</v>
      </c>
      <c r="O9">
        <v>731</v>
      </c>
      <c r="P9">
        <v>860</v>
      </c>
      <c r="Q9">
        <v>466</v>
      </c>
      <c r="R9">
        <v>601</v>
      </c>
      <c r="AC9">
        <f>SUM(F9+H9+J9+L9+N9+P9+R9+T9+V9+X9+Z9+AB9)</f>
        <v>5167</v>
      </c>
    </row>
    <row r="10">
      <c r="A10" t="str">
        <v>30042</v>
      </c>
      <c r="B10" t="str">
        <v>Anti HCV</v>
      </c>
      <c r="C10" t="str">
        <v>36331</v>
      </c>
      <c r="D10">
        <v>300</v>
      </c>
      <c r="E10">
        <v>673</v>
      </c>
      <c r="F10">
        <v>1139</v>
      </c>
      <c r="G10">
        <v>680</v>
      </c>
      <c r="H10">
        <v>1136</v>
      </c>
      <c r="I10">
        <v>617</v>
      </c>
      <c r="J10">
        <v>1095</v>
      </c>
      <c r="K10">
        <v>726</v>
      </c>
      <c r="L10">
        <v>1239</v>
      </c>
      <c r="M10">
        <v>626</v>
      </c>
      <c r="N10">
        <v>1064</v>
      </c>
      <c r="O10">
        <v>743</v>
      </c>
      <c r="P10">
        <v>1200</v>
      </c>
      <c r="Q10">
        <v>635</v>
      </c>
      <c r="R10">
        <v>1086</v>
      </c>
      <c r="AC10">
        <f>SUM(F10+H10+J10+L10+N10+P10+R10+T10+V10+X10+Z10+AB10)</f>
        <v>7959</v>
      </c>
    </row>
    <row r="11">
      <c r="A11" t="str">
        <v>30045</v>
      </c>
      <c r="B11" t="str">
        <v>Anti nuclear antibodies (ANA-Fluid)</v>
      </c>
      <c r="C11" t="str">
        <v>37003</v>
      </c>
      <c r="D11">
        <v>450</v>
      </c>
      <c r="E11">
        <v>1</v>
      </c>
      <c r="F11">
        <v>1</v>
      </c>
      <c r="G11">
        <v>2</v>
      </c>
      <c r="H11">
        <v>3</v>
      </c>
      <c r="I11">
        <v>1</v>
      </c>
      <c r="J11">
        <v>1</v>
      </c>
      <c r="K11">
        <v>2</v>
      </c>
      <c r="L11">
        <v>2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AC11">
        <f>SUM(F11+H11+J11+L11+N11+P11+R11+T11+V11+X11+Z11+AB11)</f>
        <v>8</v>
      </c>
    </row>
    <row r="12">
      <c r="A12" t="str">
        <v>30044</v>
      </c>
      <c r="B12" t="str">
        <v>Anti nuclear antibodies (ANA-serum)</v>
      </c>
      <c r="C12" t="str">
        <v>37003</v>
      </c>
      <c r="D12">
        <v>450</v>
      </c>
      <c r="E12">
        <v>106</v>
      </c>
      <c r="F12">
        <v>119</v>
      </c>
      <c r="G12">
        <v>75</v>
      </c>
      <c r="H12">
        <v>120</v>
      </c>
      <c r="I12">
        <v>97</v>
      </c>
      <c r="J12">
        <v>112</v>
      </c>
      <c r="K12">
        <v>106</v>
      </c>
      <c r="L12">
        <v>120</v>
      </c>
      <c r="M12">
        <v>69</v>
      </c>
      <c r="N12">
        <v>95</v>
      </c>
      <c r="O12">
        <v>63</v>
      </c>
      <c r="P12">
        <v>100</v>
      </c>
      <c r="Q12">
        <v>73</v>
      </c>
      <c r="R12">
        <v>93</v>
      </c>
      <c r="AC12">
        <f>SUM(F12+H12+J12+L12+N12+P12+R12+T12+V12+X12+Z12+AB12)</f>
        <v>759</v>
      </c>
    </row>
    <row r="13">
      <c r="A13" t="str">
        <v>30082</v>
      </c>
      <c r="B13" t="str">
        <v>Anti-HIV</v>
      </c>
      <c r="C13" t="str">
        <v>36351</v>
      </c>
      <c r="D13">
        <v>120</v>
      </c>
      <c r="E13">
        <v>1811</v>
      </c>
      <c r="F13">
        <v>2782</v>
      </c>
      <c r="G13">
        <v>1719</v>
      </c>
      <c r="H13">
        <v>2777</v>
      </c>
      <c r="I13">
        <v>1604</v>
      </c>
      <c r="J13">
        <v>2702</v>
      </c>
      <c r="K13">
        <v>1892</v>
      </c>
      <c r="L13">
        <v>2946</v>
      </c>
      <c r="M13">
        <v>1733</v>
      </c>
      <c r="N13">
        <v>2644</v>
      </c>
      <c r="O13">
        <v>1815</v>
      </c>
      <c r="P13">
        <v>2790</v>
      </c>
      <c r="Q13">
        <v>1741</v>
      </c>
      <c r="R13">
        <v>2724</v>
      </c>
      <c r="AC13">
        <f>SUM(F13+H13+J13+L13+N13+P13+R13+T13+V13+X13+Z13+AB13)</f>
        <v>19365</v>
      </c>
    </row>
    <row r="14">
      <c r="A14" t="str">
        <v>14</v>
      </c>
      <c r="B14" t="str">
        <v>Bacterial meningitis Ag (CSF)</v>
      </c>
      <c r="C14" t="str">
        <v>-</v>
      </c>
      <c r="D14">
        <v>1700</v>
      </c>
      <c r="E14">
        <v>60</v>
      </c>
      <c r="F14">
        <v>60</v>
      </c>
      <c r="G14">
        <v>36</v>
      </c>
      <c r="H14">
        <v>36</v>
      </c>
      <c r="I14">
        <v>48</v>
      </c>
      <c r="J14">
        <v>51</v>
      </c>
      <c r="K14">
        <v>37</v>
      </c>
      <c r="L14">
        <v>37</v>
      </c>
      <c r="M14">
        <v>33</v>
      </c>
      <c r="N14">
        <v>51</v>
      </c>
      <c r="O14">
        <v>25</v>
      </c>
      <c r="P14">
        <v>32</v>
      </c>
      <c r="Q14">
        <v>31</v>
      </c>
      <c r="R14">
        <v>52</v>
      </c>
      <c r="AC14">
        <f>SUM(F14+H14+J14+L14+N14+P14+R14+T14+V14+X14+Z14+AB14)</f>
        <v>319</v>
      </c>
    </row>
    <row r="15">
      <c r="A15" t="str">
        <v>30061</v>
      </c>
      <c r="B15" t="str">
        <v>B-HCG</v>
      </c>
      <c r="C15" t="str">
        <v>37303</v>
      </c>
      <c r="D15">
        <v>160</v>
      </c>
      <c r="E15">
        <v>141</v>
      </c>
      <c r="F15">
        <v>163</v>
      </c>
      <c r="G15">
        <v>121</v>
      </c>
      <c r="H15">
        <v>138</v>
      </c>
      <c r="I15">
        <v>117</v>
      </c>
      <c r="J15">
        <v>133</v>
      </c>
      <c r="K15">
        <v>107</v>
      </c>
      <c r="L15">
        <v>126</v>
      </c>
      <c r="M15">
        <v>128</v>
      </c>
      <c r="N15">
        <v>162</v>
      </c>
      <c r="O15">
        <v>121</v>
      </c>
      <c r="P15">
        <v>159</v>
      </c>
      <c r="Q15">
        <v>122</v>
      </c>
      <c r="R15">
        <v>161</v>
      </c>
      <c r="AC15">
        <f>SUM(F15+H15+J15+L15+N15+P15+R15+T15+V15+X15+Z15+AB15)</f>
        <v>1042</v>
      </c>
    </row>
    <row r="16">
      <c r="A16" t="str">
        <v>30062</v>
      </c>
      <c r="B16" t="str">
        <v>CA 125</v>
      </c>
      <c r="C16" t="str">
        <v>37306</v>
      </c>
      <c r="D16">
        <v>550</v>
      </c>
      <c r="E16">
        <v>270</v>
      </c>
      <c r="F16">
        <v>272</v>
      </c>
      <c r="G16">
        <v>236</v>
      </c>
      <c r="H16">
        <v>242</v>
      </c>
      <c r="I16">
        <v>278</v>
      </c>
      <c r="J16">
        <v>287</v>
      </c>
      <c r="K16">
        <v>309</v>
      </c>
      <c r="L16">
        <v>321</v>
      </c>
      <c r="M16">
        <v>249</v>
      </c>
      <c r="N16">
        <v>290</v>
      </c>
      <c r="O16">
        <v>300</v>
      </c>
      <c r="P16">
        <v>335</v>
      </c>
      <c r="Q16">
        <v>267</v>
      </c>
      <c r="R16">
        <v>295</v>
      </c>
      <c r="AC16">
        <f>SUM(F16+H16+J16+L16+N16+P16+R16+T16+V16+X16+Z16+AB16)</f>
        <v>2042</v>
      </c>
    </row>
    <row r="17">
      <c r="A17" t="str">
        <v>30063</v>
      </c>
      <c r="B17" t="str">
        <v>CA 19-9</v>
      </c>
      <c r="C17" t="str">
        <v>37307</v>
      </c>
      <c r="D17">
        <v>550</v>
      </c>
      <c r="E17">
        <v>127</v>
      </c>
      <c r="F17">
        <v>134</v>
      </c>
      <c r="G17">
        <v>138</v>
      </c>
      <c r="H17">
        <v>144</v>
      </c>
      <c r="I17">
        <v>128</v>
      </c>
      <c r="J17">
        <v>139</v>
      </c>
      <c r="K17">
        <v>164</v>
      </c>
      <c r="L17">
        <v>182</v>
      </c>
      <c r="M17">
        <v>131</v>
      </c>
      <c r="N17">
        <v>152</v>
      </c>
      <c r="O17">
        <v>214</v>
      </c>
      <c r="P17">
        <v>234</v>
      </c>
      <c r="Q17">
        <v>130</v>
      </c>
      <c r="R17">
        <v>162</v>
      </c>
      <c r="AC17">
        <f>SUM(F17+H17+J17+L17+N17+P17+R17+T17+V17+X17+Z17+AB17)</f>
        <v>1147</v>
      </c>
    </row>
    <row r="18">
      <c r="A18" t="str">
        <v>30064</v>
      </c>
      <c r="B18" t="str">
        <v>CEA</v>
      </c>
      <c r="C18" t="str">
        <v>37308</v>
      </c>
      <c r="D18">
        <v>280</v>
      </c>
      <c r="E18">
        <v>551</v>
      </c>
      <c r="F18">
        <v>568</v>
      </c>
      <c r="G18">
        <v>555</v>
      </c>
      <c r="H18">
        <v>561</v>
      </c>
      <c r="I18">
        <v>564</v>
      </c>
      <c r="J18">
        <v>607</v>
      </c>
      <c r="K18">
        <v>602</v>
      </c>
      <c r="L18">
        <v>622</v>
      </c>
      <c r="M18">
        <v>524</v>
      </c>
      <c r="N18">
        <v>574</v>
      </c>
      <c r="O18">
        <v>595</v>
      </c>
      <c r="P18">
        <v>644</v>
      </c>
      <c r="Q18">
        <v>481</v>
      </c>
      <c r="R18">
        <v>518</v>
      </c>
      <c r="AC18">
        <f>SUM(F18+H18+J18+L18+N18+P18+R18+T18+V18+X18+Z18+AB18)</f>
        <v>4094</v>
      </c>
    </row>
    <row r="19">
      <c r="A19" t="str">
        <v>30002</v>
      </c>
      <c r="B19" t="str">
        <v>Cold agglutinin</v>
      </c>
      <c r="C19" t="str">
        <v>37106</v>
      </c>
      <c r="D19">
        <v>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AC19">
        <f>SUM(F19+H19+J19+L19+N19+P19+R19+T19+V19+X19+Z19+AB19)</f>
        <v>0</v>
      </c>
    </row>
    <row r="20">
      <c r="A20" t="str">
        <v>30005</v>
      </c>
      <c r="B20" t="str">
        <v>Cryptococcus Ag (CSF)</v>
      </c>
      <c r="C20" t="str">
        <v>37227</v>
      </c>
      <c r="D20">
        <v>270</v>
      </c>
      <c r="E20">
        <v>6</v>
      </c>
      <c r="F20">
        <v>6</v>
      </c>
      <c r="G20">
        <v>5</v>
      </c>
      <c r="H20">
        <v>5</v>
      </c>
      <c r="I20">
        <v>7</v>
      </c>
      <c r="J20">
        <v>7</v>
      </c>
      <c r="K20">
        <v>8</v>
      </c>
      <c r="L20">
        <v>8</v>
      </c>
      <c r="M20">
        <v>3</v>
      </c>
      <c r="N20">
        <v>10</v>
      </c>
      <c r="O20">
        <v>4</v>
      </c>
      <c r="P20">
        <v>9</v>
      </c>
      <c r="Q20">
        <v>7</v>
      </c>
      <c r="R20">
        <v>10</v>
      </c>
      <c r="AC20">
        <f>SUM(F20+H20+J20+L20+N20+P20+R20+T20+V20+X20+Z20+AB20)</f>
        <v>55</v>
      </c>
    </row>
    <row r="21">
      <c r="A21" t="str">
        <v>30004</v>
      </c>
      <c r="B21" t="str">
        <v>Cryptococcus Ag (serum)</v>
      </c>
      <c r="C21" t="str">
        <v>37227</v>
      </c>
      <c r="D21">
        <v>270</v>
      </c>
      <c r="E21">
        <v>49</v>
      </c>
      <c r="F21">
        <v>51</v>
      </c>
      <c r="G21">
        <v>49</v>
      </c>
      <c r="H21">
        <v>50</v>
      </c>
      <c r="I21">
        <v>63</v>
      </c>
      <c r="J21">
        <v>64</v>
      </c>
      <c r="K21">
        <v>41</v>
      </c>
      <c r="L21">
        <v>42</v>
      </c>
      <c r="M21">
        <v>29</v>
      </c>
      <c r="N21">
        <v>52</v>
      </c>
      <c r="O21">
        <v>26</v>
      </c>
      <c r="P21">
        <v>50</v>
      </c>
      <c r="Q21">
        <v>20</v>
      </c>
      <c r="R21">
        <v>49</v>
      </c>
      <c r="AC21">
        <f>SUM(F21+H21+J21+L21+N21+P21+R21+T21+V21+X21+Z21+AB21)</f>
        <v>358</v>
      </c>
    </row>
    <row r="22">
      <c r="A22" t="str">
        <v>102</v>
      </c>
      <c r="B22" t="str">
        <v>Dengue virus Ag NS1+Ab(IgG/IgM)(rapid test)</v>
      </c>
      <c r="C22" t="str">
        <v>36614</v>
      </c>
      <c r="D22">
        <v>520</v>
      </c>
      <c r="E22">
        <v>189</v>
      </c>
      <c r="F22">
        <v>393</v>
      </c>
      <c r="G22">
        <v>174</v>
      </c>
      <c r="H22">
        <v>319</v>
      </c>
      <c r="I22">
        <v>172</v>
      </c>
      <c r="J22">
        <v>303</v>
      </c>
      <c r="K22">
        <v>172</v>
      </c>
      <c r="L22">
        <v>330</v>
      </c>
      <c r="M22">
        <v>128</v>
      </c>
      <c r="N22">
        <v>243</v>
      </c>
      <c r="O22">
        <v>192</v>
      </c>
      <c r="P22">
        <v>312</v>
      </c>
      <c r="Q22">
        <v>129</v>
      </c>
      <c r="R22">
        <v>234</v>
      </c>
      <c r="AC22">
        <f>SUM(F22+H22+J22+L22+N22+P22+R22+T22+V22+X22+Z22+AB22)</f>
        <v>2134</v>
      </c>
    </row>
    <row r="23">
      <c r="A23" t="str">
        <v>30041</v>
      </c>
      <c r="B23" t="str">
        <v>HBe Ag</v>
      </c>
      <c r="C23" t="str">
        <v>36314</v>
      </c>
      <c r="D23">
        <v>180</v>
      </c>
      <c r="E23">
        <v>36</v>
      </c>
      <c r="F23">
        <v>38</v>
      </c>
      <c r="G23">
        <v>31</v>
      </c>
      <c r="H23">
        <v>32</v>
      </c>
      <c r="I23">
        <v>28</v>
      </c>
      <c r="J23">
        <v>30</v>
      </c>
      <c r="K23">
        <v>25</v>
      </c>
      <c r="L23">
        <v>26</v>
      </c>
      <c r="M23">
        <v>16</v>
      </c>
      <c r="N23">
        <v>18</v>
      </c>
      <c r="O23">
        <v>16</v>
      </c>
      <c r="P23">
        <v>22</v>
      </c>
      <c r="Q23">
        <v>26</v>
      </c>
      <c r="R23">
        <v>29</v>
      </c>
      <c r="AC23">
        <f>SUM(F23+H23+J23+L23+N23+P23+R23+T23+V23+X23+Z23+AB23)</f>
        <v>195</v>
      </c>
    </row>
    <row r="24">
      <c r="A24" t="str">
        <v>30038</v>
      </c>
      <c r="B24" t="str">
        <v>HBs Ag</v>
      </c>
      <c r="C24" t="str">
        <v>36319</v>
      </c>
      <c r="D24">
        <v>130</v>
      </c>
      <c r="E24">
        <v>981</v>
      </c>
      <c r="F24">
        <v>1618</v>
      </c>
      <c r="G24">
        <v>935</v>
      </c>
      <c r="H24">
        <v>1432</v>
      </c>
      <c r="I24">
        <v>919</v>
      </c>
      <c r="J24">
        <v>1418</v>
      </c>
      <c r="K24">
        <v>1037</v>
      </c>
      <c r="L24">
        <v>1594</v>
      </c>
      <c r="M24">
        <v>888</v>
      </c>
      <c r="N24">
        <v>1336</v>
      </c>
      <c r="O24">
        <v>1173</v>
      </c>
      <c r="P24">
        <v>1656</v>
      </c>
      <c r="Q24">
        <v>875</v>
      </c>
      <c r="R24">
        <v>1351</v>
      </c>
      <c r="AC24">
        <f>SUM(F24+H24+J24+L24+N24+P24+R24+T24+V24+X24+Z24+AB24)</f>
        <v>10405</v>
      </c>
    </row>
    <row r="25">
      <c r="A25" t="str">
        <v>30135</v>
      </c>
      <c r="B25" t="str">
        <v>High sensitive Troponin I</v>
      </c>
      <c r="C25" t="str">
        <v>32307</v>
      </c>
      <c r="D25">
        <v>260</v>
      </c>
      <c r="E25">
        <v>17</v>
      </c>
      <c r="F25">
        <v>49</v>
      </c>
      <c r="G25">
        <v>7</v>
      </c>
      <c r="H25">
        <v>30</v>
      </c>
      <c r="I25">
        <v>12</v>
      </c>
      <c r="J25">
        <v>32</v>
      </c>
      <c r="K25">
        <v>5</v>
      </c>
      <c r="L25">
        <v>21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AC25">
        <f>SUM(F25+H25+J25+L25+N25+P25+R25+T25+V25+X25+Z25+AB25)</f>
        <v>132</v>
      </c>
    </row>
    <row r="26" xml:space="preserve">
      <c r="A26" t="str">
        <v>101</v>
      </c>
      <c r="B26" t="str" xml:space="preserve">
        <v xml:space="preserve">Influenza Ag A/B (Rapid Test)_x000d_
</v>
      </c>
      <c r="C26" t="str">
        <v>36506</v>
      </c>
      <c r="D26">
        <v>350</v>
      </c>
      <c r="E26">
        <v>489</v>
      </c>
      <c r="F26">
        <v>867</v>
      </c>
      <c r="G26">
        <v>362</v>
      </c>
      <c r="H26">
        <v>604</v>
      </c>
      <c r="I26">
        <v>323</v>
      </c>
      <c r="J26">
        <v>536</v>
      </c>
      <c r="K26">
        <v>284</v>
      </c>
      <c r="L26">
        <v>508</v>
      </c>
      <c r="M26">
        <v>206</v>
      </c>
      <c r="N26">
        <v>243</v>
      </c>
      <c r="O26">
        <v>260</v>
      </c>
      <c r="P26">
        <v>403</v>
      </c>
      <c r="Q26">
        <v>136</v>
      </c>
      <c r="R26">
        <v>217</v>
      </c>
      <c r="AC26">
        <f>SUM(F26+H26+J26+L26+N26+P26+R26+T26+V26+X26+Z26+AB26)</f>
        <v>3378</v>
      </c>
    </row>
    <row r="27">
      <c r="A27" t="str">
        <v>153</v>
      </c>
      <c r="B27" t="str">
        <v>Leptospira spp.Ab detection (qualitative)</v>
      </c>
      <c r="C27" t="str">
        <v>36007</v>
      </c>
      <c r="D27">
        <v>200</v>
      </c>
      <c r="E27">
        <v>0</v>
      </c>
      <c r="F27">
        <v>0</v>
      </c>
      <c r="G27">
        <v>3</v>
      </c>
      <c r="H27">
        <v>5</v>
      </c>
      <c r="I27">
        <v>0</v>
      </c>
      <c r="J27">
        <v>1</v>
      </c>
      <c r="K27">
        <v>0</v>
      </c>
      <c r="L27">
        <v>0</v>
      </c>
      <c r="M27">
        <v>0</v>
      </c>
      <c r="N27">
        <v>2</v>
      </c>
      <c r="O27">
        <v>0</v>
      </c>
      <c r="P27">
        <v>1</v>
      </c>
      <c r="Q27">
        <v>2</v>
      </c>
      <c r="R27">
        <v>4</v>
      </c>
      <c r="AC27">
        <f>SUM(F27+H27+J27+L27+N27+P27+R27+T27+V27+X27+Z27+AB27)</f>
        <v>13</v>
      </c>
    </row>
    <row r="28">
      <c r="A28" t="str">
        <v>30008</v>
      </c>
      <c r="B28" t="str">
        <v>Melioidosis (Blood)</v>
      </c>
      <c r="C28" t="str">
        <v>36012</v>
      </c>
      <c r="D28">
        <v>100</v>
      </c>
      <c r="E28">
        <v>34</v>
      </c>
      <c r="F28">
        <v>36</v>
      </c>
      <c r="G28">
        <v>46</v>
      </c>
      <c r="H28">
        <v>46</v>
      </c>
      <c r="I28">
        <v>43</v>
      </c>
      <c r="J28">
        <v>43</v>
      </c>
      <c r="K28">
        <v>45</v>
      </c>
      <c r="L28">
        <v>45</v>
      </c>
      <c r="M28">
        <v>10</v>
      </c>
      <c r="N28">
        <v>32</v>
      </c>
      <c r="O28">
        <v>22</v>
      </c>
      <c r="P28">
        <v>51</v>
      </c>
      <c r="Q28">
        <v>12</v>
      </c>
      <c r="R28">
        <v>30</v>
      </c>
      <c r="AC28">
        <f>SUM(F28+H28+J28+L28+N28+P28+R28+T28+V28+X28+Z28+AB28)</f>
        <v>283</v>
      </c>
    </row>
    <row r="29">
      <c r="A29" t="str">
        <v>30131</v>
      </c>
      <c r="B29" t="str">
        <v>Procalcitonin (PCT)</v>
      </c>
      <c r="C29" t="str">
        <v>32405</v>
      </c>
      <c r="D29">
        <v>600</v>
      </c>
      <c r="E29">
        <v>225</v>
      </c>
      <c r="F29">
        <v>773</v>
      </c>
      <c r="G29">
        <v>222</v>
      </c>
      <c r="H29">
        <v>673</v>
      </c>
      <c r="I29">
        <v>256</v>
      </c>
      <c r="J29">
        <v>737</v>
      </c>
      <c r="K29">
        <v>204</v>
      </c>
      <c r="L29">
        <v>578</v>
      </c>
      <c r="M29">
        <v>169</v>
      </c>
      <c r="N29">
        <v>569</v>
      </c>
      <c r="O29">
        <v>175</v>
      </c>
      <c r="P29">
        <v>642</v>
      </c>
      <c r="Q29">
        <v>166</v>
      </c>
      <c r="R29">
        <v>516</v>
      </c>
      <c r="AC29">
        <f>SUM(F29+H29+J29+L29+N29+P29+R29+T29+V29+X29+Z29+AB29)</f>
        <v>4488</v>
      </c>
    </row>
    <row r="30">
      <c r="A30" t="str">
        <v>30065</v>
      </c>
      <c r="B30" t="str">
        <v>PSA</v>
      </c>
      <c r="C30" t="str">
        <v>37310</v>
      </c>
      <c r="D30">
        <v>300</v>
      </c>
      <c r="E30">
        <v>312</v>
      </c>
      <c r="F30">
        <v>317</v>
      </c>
      <c r="G30">
        <v>319</v>
      </c>
      <c r="H30">
        <v>322</v>
      </c>
      <c r="I30">
        <v>304</v>
      </c>
      <c r="J30">
        <v>316</v>
      </c>
      <c r="K30">
        <v>390</v>
      </c>
      <c r="L30">
        <v>396</v>
      </c>
      <c r="M30">
        <v>304</v>
      </c>
      <c r="N30">
        <v>343</v>
      </c>
      <c r="O30">
        <v>335</v>
      </c>
      <c r="P30">
        <v>365</v>
      </c>
      <c r="Q30">
        <v>279</v>
      </c>
      <c r="R30">
        <v>299</v>
      </c>
      <c r="AC30">
        <f>SUM(F30+H30+J30+L30+N30+P30+R30+T30+V30+X30+Z30+AB30)</f>
        <v>2358</v>
      </c>
    </row>
    <row r="31">
      <c r="A31" t="str">
        <v>70048</v>
      </c>
      <c r="B31" t="str">
        <v>RSV(Respiratory syncytial virus) (Rapid test)</v>
      </c>
      <c r="C31" t="str">
        <v>36541</v>
      </c>
      <c r="D31">
        <v>350</v>
      </c>
      <c r="E31">
        <v>212</v>
      </c>
      <c r="F31">
        <v>335</v>
      </c>
      <c r="G31">
        <v>138</v>
      </c>
      <c r="H31">
        <v>202</v>
      </c>
      <c r="I31">
        <v>94</v>
      </c>
      <c r="J31">
        <v>157</v>
      </c>
      <c r="K31">
        <v>70</v>
      </c>
      <c r="L31">
        <v>133</v>
      </c>
      <c r="M31">
        <v>49</v>
      </c>
      <c r="N31">
        <v>82</v>
      </c>
      <c r="O31">
        <v>55</v>
      </c>
      <c r="P31">
        <v>92</v>
      </c>
      <c r="Q31">
        <v>40</v>
      </c>
      <c r="R31">
        <v>55</v>
      </c>
      <c r="AC31">
        <f>SUM(F31+H31+J31+L31+N31+P31+R31+T31+V31+X31+Z31+AB31)</f>
        <v>1056</v>
      </c>
    </row>
    <row r="32">
      <c r="A32" t="str">
        <v>107</v>
      </c>
      <c r="B32" t="str">
        <v>Seminal analysis (Acidphosphatase/PSA/Spermatozoa)</v>
      </c>
      <c r="C32" t="str">
        <v>-</v>
      </c>
      <c r="D32">
        <v>450</v>
      </c>
      <c r="E32">
        <v>38</v>
      </c>
      <c r="F32">
        <v>57</v>
      </c>
      <c r="G32">
        <v>26</v>
      </c>
      <c r="H32">
        <v>40</v>
      </c>
      <c r="I32">
        <v>37</v>
      </c>
      <c r="J32">
        <v>37</v>
      </c>
      <c r="K32">
        <v>57</v>
      </c>
      <c r="L32">
        <v>76</v>
      </c>
      <c r="M32">
        <v>54</v>
      </c>
      <c r="N32">
        <v>56</v>
      </c>
      <c r="O32">
        <v>64</v>
      </c>
      <c r="P32">
        <v>64</v>
      </c>
      <c r="Q32">
        <v>61</v>
      </c>
      <c r="R32">
        <v>61</v>
      </c>
      <c r="AC32">
        <f>SUM(F32+H32+J32+L32+N32+P32+R32+T32+V32+X32+Z32+AB32)</f>
        <v>391</v>
      </c>
    </row>
    <row r="33">
      <c r="A33" t="str">
        <v>30128</v>
      </c>
      <c r="B33" t="str">
        <v>Syphilis -Treponema pallidum (Ab-serum)</v>
      </c>
      <c r="C33" t="str">
        <v>36006</v>
      </c>
      <c r="D33">
        <v>100</v>
      </c>
      <c r="E33">
        <v>440</v>
      </c>
      <c r="F33">
        <v>505</v>
      </c>
      <c r="G33">
        <v>391</v>
      </c>
      <c r="H33">
        <v>436</v>
      </c>
      <c r="I33">
        <v>386</v>
      </c>
      <c r="J33">
        <v>428</v>
      </c>
      <c r="K33">
        <v>425</v>
      </c>
      <c r="L33">
        <v>477</v>
      </c>
      <c r="M33">
        <v>433</v>
      </c>
      <c r="N33">
        <v>465</v>
      </c>
      <c r="O33">
        <v>421</v>
      </c>
      <c r="P33">
        <v>452</v>
      </c>
      <c r="Q33">
        <v>407</v>
      </c>
      <c r="R33">
        <v>434</v>
      </c>
      <c r="AC33">
        <f>SUM(F33+H33+J33+L33+N33+P33+R33+T33+V33+X33+Z33+AB33)</f>
        <v>3197</v>
      </c>
    </row>
    <row r="34">
      <c r="A34" t="str">
        <v>30024</v>
      </c>
      <c r="B34" t="str">
        <v>Treponema pallidum-RPR (Reagin Ab)</v>
      </c>
      <c r="C34" t="str">
        <v>36003</v>
      </c>
      <c r="D34">
        <v>50</v>
      </c>
      <c r="E34">
        <v>431</v>
      </c>
      <c r="F34">
        <v>443</v>
      </c>
      <c r="G34">
        <v>378</v>
      </c>
      <c r="H34">
        <v>381</v>
      </c>
      <c r="I34">
        <v>443</v>
      </c>
      <c r="J34">
        <v>458</v>
      </c>
      <c r="K34">
        <v>667</v>
      </c>
      <c r="L34">
        <v>671</v>
      </c>
      <c r="M34">
        <v>396</v>
      </c>
      <c r="N34">
        <v>477</v>
      </c>
      <c r="O34">
        <v>574</v>
      </c>
      <c r="P34">
        <v>681</v>
      </c>
      <c r="Q34">
        <v>297</v>
      </c>
      <c r="R34">
        <v>381</v>
      </c>
      <c r="AC34">
        <f>SUM(F34+H34+J34+L34+N34+P34+R34+T34+V34+X34+Z34+AB34)</f>
        <v>3492</v>
      </c>
    </row>
    <row r="35">
      <c r="A35" t="str">
        <v>205</v>
      </c>
      <c r="B35" t="str">
        <v>โครงการบริจาคอวัยวะและดวงตา</v>
      </c>
      <c r="C35" t="str">
        <v>-</v>
      </c>
      <c r="D35">
        <v>0</v>
      </c>
      <c r="E35">
        <v>5</v>
      </c>
      <c r="F35">
        <v>5</v>
      </c>
      <c r="G35">
        <v>6</v>
      </c>
      <c r="H35">
        <v>11</v>
      </c>
      <c r="I35">
        <v>1</v>
      </c>
      <c r="J35">
        <v>4</v>
      </c>
      <c r="K35">
        <v>5</v>
      </c>
      <c r="L35">
        <v>7</v>
      </c>
      <c r="M35">
        <v>1</v>
      </c>
      <c r="N35">
        <v>3</v>
      </c>
      <c r="O35">
        <v>4</v>
      </c>
      <c r="P35">
        <v>6</v>
      </c>
      <c r="Q35">
        <v>0</v>
      </c>
      <c r="R35">
        <v>2</v>
      </c>
      <c r="AC35">
        <f>SUM(F35+H35+J35+L35+N35+P35+R35+T35+V35+X35+Z35+AB35)</f>
        <v>38</v>
      </c>
    </row>
    <row r="36">
      <c r="A36" t="str">
        <v>30074</v>
      </c>
      <c r="B36" t="str">
        <v>อุบัติเหต Anti-HIV</v>
      </c>
      <c r="C36" t="str">
        <v>-</v>
      </c>
      <c r="D36">
        <v>0</v>
      </c>
      <c r="E36">
        <v>9</v>
      </c>
      <c r="F36">
        <v>19</v>
      </c>
      <c r="G36">
        <v>18</v>
      </c>
      <c r="H36">
        <v>30</v>
      </c>
      <c r="I36">
        <v>20</v>
      </c>
      <c r="J36">
        <v>38</v>
      </c>
      <c r="K36">
        <v>21</v>
      </c>
      <c r="L36">
        <v>32</v>
      </c>
      <c r="M36">
        <v>11</v>
      </c>
      <c r="N36">
        <v>18</v>
      </c>
      <c r="O36">
        <v>18</v>
      </c>
      <c r="P36">
        <v>29</v>
      </c>
      <c r="Q36">
        <v>15</v>
      </c>
      <c r="R36">
        <v>23</v>
      </c>
      <c r="AC36">
        <f>SUM(F36+H36+J36+L36+N36+P36+R36+T36+V36+X36+Z36+AB36)</f>
        <v>189</v>
      </c>
    </row>
    <row r="37">
      <c r="A37" t="str">
        <v>30079</v>
      </c>
      <c r="B37" t="str">
        <v>อุบัติเหตุ - HBs Ag</v>
      </c>
      <c r="C37" t="str">
        <v>-</v>
      </c>
      <c r="D37">
        <v>0</v>
      </c>
      <c r="E37">
        <v>4</v>
      </c>
      <c r="F37">
        <v>10</v>
      </c>
      <c r="G37">
        <v>8</v>
      </c>
      <c r="H37">
        <v>14</v>
      </c>
      <c r="I37">
        <v>5</v>
      </c>
      <c r="J37">
        <v>12</v>
      </c>
      <c r="K37">
        <v>5</v>
      </c>
      <c r="L37">
        <v>13</v>
      </c>
      <c r="M37">
        <v>5</v>
      </c>
      <c r="N37">
        <v>9</v>
      </c>
      <c r="O37">
        <v>5</v>
      </c>
      <c r="P37">
        <v>7</v>
      </c>
      <c r="Q37">
        <v>3</v>
      </c>
      <c r="R37">
        <v>7</v>
      </c>
      <c r="AC37">
        <f>SUM(F37+H37+J37+L37+N37+P37+R37+T37+V37+X37+Z37+AB37)</f>
        <v>72</v>
      </c>
    </row>
    <row r="38">
      <c r="A38" t="str">
        <v>30081</v>
      </c>
      <c r="B38" t="str">
        <v>อุบัติเหตุ Anti HCV</v>
      </c>
      <c r="C38" t="str">
        <v>-</v>
      </c>
      <c r="D38">
        <v>0</v>
      </c>
      <c r="E38">
        <v>1</v>
      </c>
      <c r="F38">
        <v>10</v>
      </c>
      <c r="G38">
        <v>4</v>
      </c>
      <c r="H38">
        <v>11</v>
      </c>
      <c r="I38">
        <v>3</v>
      </c>
      <c r="J38">
        <v>11</v>
      </c>
      <c r="K38">
        <v>3</v>
      </c>
      <c r="L38">
        <v>10</v>
      </c>
      <c r="M38">
        <v>5</v>
      </c>
      <c r="N38">
        <v>8</v>
      </c>
      <c r="O38">
        <v>5</v>
      </c>
      <c r="P38">
        <v>7</v>
      </c>
      <c r="Q38">
        <v>3</v>
      </c>
      <c r="R38">
        <v>7</v>
      </c>
      <c r="AC38">
        <f>SUM(F38+H38+J38+L38+N38+P38+R38+T38+V38+X38+Z38+AB38)</f>
        <v>64</v>
      </c>
    </row>
    <row r="39">
      <c r="A39" t="str">
        <v>30148</v>
      </c>
      <c r="B39" t="str">
        <v>TB Urine Lam Ag</v>
      </c>
      <c r="C39" t="str">
        <v>-</v>
      </c>
      <c r="D39">
        <v>0</v>
      </c>
      <c r="E39">
        <v>30</v>
      </c>
      <c r="F39">
        <v>30</v>
      </c>
      <c r="G39">
        <v>13</v>
      </c>
      <c r="H39">
        <v>26</v>
      </c>
      <c r="I39">
        <v>27</v>
      </c>
      <c r="J39">
        <v>27</v>
      </c>
      <c r="K39">
        <v>18</v>
      </c>
      <c r="L39">
        <v>18</v>
      </c>
      <c r="M39">
        <v>8</v>
      </c>
      <c r="N39">
        <v>21</v>
      </c>
      <c r="O39">
        <v>10</v>
      </c>
      <c r="P39">
        <v>26</v>
      </c>
      <c r="Q39">
        <v>21</v>
      </c>
      <c r="R39">
        <v>35</v>
      </c>
    </row>
    <row r="40">
      <c r="B40" t="str">
        <v>Grand Total</v>
      </c>
      <c r="E40">
        <f>SUM(E3:E39)</f>
        <v>8362</v>
      </c>
      <c r="F40">
        <f>SUM(F3:F39)</f>
        <v>12268</v>
      </c>
      <c r="G40">
        <f>SUM(G3:G39)</f>
        <v>7809</v>
      </c>
      <c r="H40">
        <f>SUM(H3:H39)</f>
        <v>11137</v>
      </c>
      <c r="I40">
        <f>SUM(I3:I39)</f>
        <v>7756</v>
      </c>
      <c r="J40">
        <f>SUM(J3:J39)</f>
        <v>11188</v>
      </c>
      <c r="K40">
        <f>SUM(K3:K39)</f>
        <v>8737</v>
      </c>
      <c r="L40">
        <f>SUM(L3:L39)</f>
        <v>12094</v>
      </c>
      <c r="M40">
        <f>SUM(M3:M39)</f>
        <v>7283</v>
      </c>
      <c r="N40">
        <f>SUM(N3:N39)</f>
        <v>10317</v>
      </c>
      <c r="O40">
        <f>SUM(O3:O39)</f>
        <v>8642</v>
      </c>
      <c r="P40">
        <f>SUM(P3:P39)</f>
        <v>12005</v>
      </c>
      <c r="Q40">
        <f>SUM(Q3:Q39)</f>
        <v>7012</v>
      </c>
      <c r="R40">
        <f>SUM(R3:R39)</f>
        <v>10088</v>
      </c>
      <c r="S40">
        <f>SUM(S3:S39)</f>
        <v>0</v>
      </c>
      <c r="T40">
        <f>SUM(T3:T39)</f>
        <v>0</v>
      </c>
      <c r="U40">
        <f>SUM(U3:U39)</f>
        <v>0</v>
      </c>
      <c r="V40">
        <f>SUM(V3:V39)</f>
        <v>0</v>
      </c>
      <c r="W40">
        <f>SUM(W3:W39)</f>
        <v>0</v>
      </c>
      <c r="X40">
        <f>SUM(X3:X39)</f>
        <v>0</v>
      </c>
      <c r="Y40">
        <f>SUM(Y3:Y39)</f>
        <v>0</v>
      </c>
      <c r="Z40">
        <f>SUM(Z3:Z39)</f>
        <v>0</v>
      </c>
      <c r="AA40">
        <f>SUM(AA3:AA39)</f>
        <v>0</v>
      </c>
      <c r="AB40">
        <f>SUM(AB3:AB39)</f>
        <v>0</v>
      </c>
    </row>
  </sheetData>
  <mergeCells count="17">
    <mergeCell ref="G1:H1"/>
    <mergeCell ref="I1:J1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numberStoredAsText="1" sqref="A1:AE10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007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A3" t="str">
        <v>11</v>
      </c>
      <c r="B3" t="str">
        <v>CBC</v>
      </c>
      <c r="C3" t="str">
        <v>30101</v>
      </c>
      <c r="D3">
        <v>90</v>
      </c>
      <c r="E3">
        <v>12042</v>
      </c>
      <c r="F3">
        <v>21564</v>
      </c>
      <c r="G3">
        <v>11349</v>
      </c>
      <c r="H3">
        <v>20272</v>
      </c>
      <c r="I3">
        <v>11655</v>
      </c>
      <c r="J3">
        <v>20971</v>
      </c>
      <c r="K3">
        <v>12301</v>
      </c>
      <c r="L3">
        <v>21543</v>
      </c>
      <c r="M3">
        <v>10384</v>
      </c>
      <c r="N3">
        <v>18240</v>
      </c>
      <c r="O3">
        <v>12182</v>
      </c>
      <c r="P3">
        <v>21111</v>
      </c>
      <c r="Q3">
        <v>9746</v>
      </c>
      <c r="R3">
        <v>17673</v>
      </c>
      <c r="AC3">
        <f>SUM(F3,H3,J3,L3,N3,P3,R3,T3,V3,X3,Z3,AB3)</f>
        <v>141374</v>
      </c>
    </row>
    <row r="4">
      <c r="A4" t="str">
        <v>20066</v>
      </c>
      <c r="B4" t="str">
        <v>ESR</v>
      </c>
      <c r="C4" t="str">
        <v>30105</v>
      </c>
      <c r="D4">
        <v>50</v>
      </c>
      <c r="E4">
        <v>827</v>
      </c>
      <c r="F4">
        <v>942</v>
      </c>
      <c r="G4">
        <v>722</v>
      </c>
      <c r="H4">
        <v>841</v>
      </c>
      <c r="I4">
        <v>752</v>
      </c>
      <c r="J4">
        <v>883</v>
      </c>
      <c r="K4">
        <v>871</v>
      </c>
      <c r="L4">
        <v>1040</v>
      </c>
      <c r="M4">
        <v>691</v>
      </c>
      <c r="N4">
        <v>833</v>
      </c>
      <c r="O4">
        <v>822</v>
      </c>
      <c r="P4">
        <v>967</v>
      </c>
      <c r="Q4">
        <v>594</v>
      </c>
      <c r="R4">
        <v>719</v>
      </c>
      <c r="AC4">
        <f>SUM(F4,H4,J4,L4,N4,P4,R4,T4,V4,X4,Z4,AB4)</f>
        <v>6225</v>
      </c>
    </row>
    <row r="5">
      <c r="A5" t="str">
        <v>20121</v>
      </c>
      <c r="B5" t="str">
        <v>Cells count and diff.count เวลาเก็บสิ่งส่งตรวจ....</v>
      </c>
      <c r="C5" t="str">
        <v>31301</v>
      </c>
      <c r="D5">
        <v>60</v>
      </c>
      <c r="E5">
        <v>170</v>
      </c>
      <c r="F5">
        <v>305</v>
      </c>
      <c r="G5">
        <v>140</v>
      </c>
      <c r="H5">
        <v>258</v>
      </c>
      <c r="I5">
        <v>181</v>
      </c>
      <c r="J5">
        <v>300</v>
      </c>
      <c r="K5">
        <v>123</v>
      </c>
      <c r="L5">
        <v>228</v>
      </c>
      <c r="M5">
        <v>124</v>
      </c>
      <c r="N5">
        <v>229</v>
      </c>
      <c r="O5">
        <v>163</v>
      </c>
      <c r="P5">
        <v>255</v>
      </c>
      <c r="Q5">
        <v>136</v>
      </c>
      <c r="R5">
        <v>257</v>
      </c>
      <c r="AC5">
        <f>SUM(F5,H5,J5,L5,N5,P5,R5,T5,V5,X5,Z5,AB5)</f>
        <v>1832</v>
      </c>
    </row>
    <row r="6">
      <c r="A6" t="str">
        <v>20119</v>
      </c>
      <c r="B6" t="str">
        <v>Reticulocyte</v>
      </c>
      <c r="C6" t="str">
        <v>30103</v>
      </c>
      <c r="D6">
        <v>40</v>
      </c>
      <c r="E6">
        <v>355</v>
      </c>
      <c r="F6">
        <v>612</v>
      </c>
      <c r="G6">
        <v>343</v>
      </c>
      <c r="H6">
        <v>616</v>
      </c>
      <c r="I6">
        <v>298</v>
      </c>
      <c r="J6">
        <v>541</v>
      </c>
      <c r="K6">
        <v>314</v>
      </c>
      <c r="L6">
        <v>579</v>
      </c>
      <c r="M6">
        <v>323</v>
      </c>
      <c r="N6">
        <v>573</v>
      </c>
      <c r="O6">
        <v>364</v>
      </c>
      <c r="P6">
        <v>693</v>
      </c>
      <c r="Q6">
        <v>307</v>
      </c>
      <c r="R6">
        <v>612</v>
      </c>
      <c r="AC6">
        <f>SUM(F6,H6,J6,L6,N6,P6,R6,T6,V6,X6,Z6,AB6)</f>
        <v>4226</v>
      </c>
    </row>
    <row r="7">
      <c r="A7" t="str">
        <v>20129</v>
      </c>
      <c r="B7" t="str">
        <v>Wright’s stain</v>
      </c>
      <c r="C7" t="str">
        <v>30107</v>
      </c>
      <c r="D7">
        <v>50</v>
      </c>
      <c r="E7">
        <v>85</v>
      </c>
      <c r="F7">
        <v>115</v>
      </c>
      <c r="G7">
        <v>73</v>
      </c>
      <c r="H7">
        <v>106</v>
      </c>
      <c r="I7">
        <v>85</v>
      </c>
      <c r="J7">
        <v>103</v>
      </c>
      <c r="K7">
        <v>85</v>
      </c>
      <c r="L7">
        <v>129</v>
      </c>
      <c r="M7">
        <v>81</v>
      </c>
      <c r="N7">
        <v>100</v>
      </c>
      <c r="O7">
        <v>82</v>
      </c>
      <c r="P7">
        <v>120</v>
      </c>
      <c r="Q7">
        <v>69</v>
      </c>
      <c r="R7">
        <v>96</v>
      </c>
      <c r="AC7">
        <f>SUM(F7,H7,J7,L7,N7,P7,R7,T7,V7,X7,Z7,AB7)</f>
        <v>769</v>
      </c>
    </row>
    <row r="8">
      <c r="A8" t="str">
        <v>20128</v>
      </c>
      <c r="B8" t="str">
        <v>Iron stain</v>
      </c>
      <c r="C8" t="str">
        <v>30108</v>
      </c>
      <c r="D8">
        <v>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f>SUM(F8,H8,J8,L8,N8,P8,R8,T8,V8,X8,Z8,AB8)</f>
        <v>0</v>
      </c>
    </row>
    <row r="9">
      <c r="A9" t="str">
        <v>20130</v>
      </c>
      <c r="B9" t="str">
        <v>Heinz bodies</v>
      </c>
      <c r="C9" t="str">
        <v>30111</v>
      </c>
      <c r="D9">
        <v>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AC9">
        <f>SUM(F9,H9,J9,L9,N9,P9,R9,T9,V9,X9,Z9,AB9)</f>
        <v>0</v>
      </c>
    </row>
    <row r="10">
      <c r="A10" t="str">
        <v>20068</v>
      </c>
      <c r="B10" t="str">
        <v>LE cell</v>
      </c>
      <c r="C10" t="str">
        <v>30124</v>
      </c>
      <c r="D10">
        <v>150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AC10">
        <f>SUM(F10,H10,J10,L10,N10,P10,R10,T10,V10,X10,Z10,AB10)</f>
        <v>0</v>
      </c>
    </row>
    <row r="11">
      <c r="A11" t="str">
        <v>20092</v>
      </c>
      <c r="B11" t="str">
        <v>Malaria</v>
      </c>
      <c r="C11" t="str">
        <v>30126</v>
      </c>
      <c r="D11">
        <v>50</v>
      </c>
      <c r="E11">
        <v>3</v>
      </c>
      <c r="F11">
        <v>6</v>
      </c>
      <c r="G11">
        <v>5</v>
      </c>
      <c r="H11">
        <v>11</v>
      </c>
      <c r="I11">
        <v>5</v>
      </c>
      <c r="J11">
        <v>8</v>
      </c>
      <c r="K11">
        <v>7</v>
      </c>
      <c r="L11">
        <v>20</v>
      </c>
      <c r="M11">
        <v>5</v>
      </c>
      <c r="N11">
        <v>9</v>
      </c>
      <c r="O11">
        <v>5</v>
      </c>
      <c r="P11">
        <v>8</v>
      </c>
      <c r="Q11">
        <v>5</v>
      </c>
      <c r="R11">
        <v>14</v>
      </c>
      <c r="AC11">
        <f>SUM(F11,H11,J11,L11,N11,P11,R11,T11,V11,X11,Z11,AB11)</f>
        <v>76</v>
      </c>
    </row>
    <row r="12">
      <c r="A12" t="str">
        <v>20118</v>
      </c>
      <c r="B12" t="str">
        <v>Microfilaria</v>
      </c>
      <c r="C12" t="str">
        <v>37999</v>
      </c>
      <c r="D12">
        <v>100</v>
      </c>
      <c r="E12">
        <v>52</v>
      </c>
      <c r="F12">
        <v>52</v>
      </c>
      <c r="G12">
        <v>22</v>
      </c>
      <c r="H12">
        <v>23</v>
      </c>
      <c r="I12">
        <v>19</v>
      </c>
      <c r="J12">
        <v>19</v>
      </c>
      <c r="K12">
        <v>258</v>
      </c>
      <c r="L12">
        <v>262</v>
      </c>
      <c r="M12">
        <v>91</v>
      </c>
      <c r="N12">
        <v>91</v>
      </c>
      <c r="O12">
        <v>233</v>
      </c>
      <c r="P12">
        <v>233</v>
      </c>
      <c r="Q12">
        <v>24</v>
      </c>
      <c r="R12">
        <v>25</v>
      </c>
      <c r="AC12">
        <f>SUM(F12,H12,J12,L12,N12,P12,R12,T12,V12,X12,Z12,AB12)</f>
        <v>705</v>
      </c>
    </row>
    <row r="13">
      <c r="A13" t="str">
        <v>20088</v>
      </c>
      <c r="B13" t="str">
        <v>LAP score</v>
      </c>
      <c r="C13" t="str">
        <v>30114</v>
      </c>
      <c r="D13">
        <v>550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f>SUM(F13,H13,J13,L13,N13,P13,R13,T13,V13,X13,Z13,AB13)</f>
        <v>1</v>
      </c>
    </row>
    <row r="14">
      <c r="A14" t="str">
        <v>20133</v>
      </c>
      <c r="B14" t="str">
        <v>Acid Elution Test</v>
      </c>
      <c r="C14" t="str">
        <v>30309</v>
      </c>
      <c r="D14">
        <v>80</v>
      </c>
      <c r="E14">
        <v>0</v>
      </c>
      <c r="F14">
        <v>0</v>
      </c>
      <c r="G14">
        <v>8</v>
      </c>
      <c r="H14">
        <v>8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0</v>
      </c>
      <c r="P14">
        <v>2</v>
      </c>
      <c r="Q14">
        <v>4</v>
      </c>
      <c r="R14">
        <v>4</v>
      </c>
      <c r="AC14">
        <f>SUM(F14,H14,J14,L14,N14,P14,R14,T14,V14,X14,Z14,AB14)</f>
        <v>23</v>
      </c>
    </row>
    <row r="15">
      <c r="A15" t="str">
        <v>20075</v>
      </c>
      <c r="B15" t="str">
        <v>Hb typing</v>
      </c>
      <c r="C15" t="str">
        <v>30313</v>
      </c>
      <c r="D15">
        <v>270</v>
      </c>
      <c r="E15">
        <v>320</v>
      </c>
      <c r="F15">
        <v>330</v>
      </c>
      <c r="G15">
        <v>250</v>
      </c>
      <c r="H15">
        <v>295</v>
      </c>
      <c r="I15">
        <v>208</v>
      </c>
      <c r="J15">
        <v>332</v>
      </c>
      <c r="K15">
        <v>291</v>
      </c>
      <c r="L15">
        <v>334</v>
      </c>
      <c r="M15">
        <v>276</v>
      </c>
      <c r="N15">
        <v>330</v>
      </c>
      <c r="O15">
        <v>302</v>
      </c>
      <c r="P15">
        <v>313</v>
      </c>
      <c r="Q15">
        <v>199</v>
      </c>
      <c r="R15">
        <v>229</v>
      </c>
      <c r="AC15">
        <f>SUM(F15,H15,J15,L15,N15,P15,R15,T15,V15,X15,Z15,AB15)</f>
        <v>2163</v>
      </c>
    </row>
    <row r="16">
      <c r="A16" t="str">
        <v>20069</v>
      </c>
      <c r="B16" t="str">
        <v>Bleeding time</v>
      </c>
      <c r="C16" t="str">
        <v>30210</v>
      </c>
      <c r="D16">
        <v>70</v>
      </c>
      <c r="E16">
        <v>1</v>
      </c>
      <c r="F16">
        <v>1</v>
      </c>
      <c r="G16">
        <v>3</v>
      </c>
      <c r="H16">
        <v>3</v>
      </c>
      <c r="I16">
        <v>4</v>
      </c>
      <c r="J16">
        <v>4</v>
      </c>
      <c r="K16">
        <v>4</v>
      </c>
      <c r="L16">
        <v>4</v>
      </c>
      <c r="M16">
        <v>3</v>
      </c>
      <c r="N16">
        <v>3</v>
      </c>
      <c r="O16">
        <v>2</v>
      </c>
      <c r="P16">
        <v>2</v>
      </c>
      <c r="Q16">
        <v>1</v>
      </c>
      <c r="R16">
        <v>1</v>
      </c>
      <c r="AC16">
        <f>SUM(F16,H16,J16,L16,N16,P16,R16,T16,V16,X16,Z16,AB16)</f>
        <v>18</v>
      </c>
    </row>
    <row r="17">
      <c r="A17" t="str">
        <v>20070</v>
      </c>
      <c r="B17" t="str">
        <v>Venous Clotting time ( VCT )</v>
      </c>
      <c r="C17" t="str">
        <v>30204</v>
      </c>
      <c r="D17">
        <v>40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AC17">
        <f>SUM(F17,H17,J17,L17,N17,P17,R17,T17,V17,X17,Z17,AB17)</f>
        <v>3</v>
      </c>
    </row>
    <row r="18">
      <c r="A18" t="str">
        <v>20071</v>
      </c>
      <c r="B18" t="str">
        <v>PT</v>
      </c>
      <c r="C18" t="str">
        <v>30201</v>
      </c>
      <c r="D18">
        <v>60</v>
      </c>
      <c r="E18">
        <v>2117</v>
      </c>
      <c r="F18">
        <v>4430</v>
      </c>
      <c r="G18">
        <v>2255</v>
      </c>
      <c r="H18">
        <v>4606</v>
      </c>
      <c r="I18">
        <v>2249</v>
      </c>
      <c r="J18">
        <v>4935</v>
      </c>
      <c r="K18">
        <v>2239</v>
      </c>
      <c r="L18">
        <v>4770</v>
      </c>
      <c r="M18">
        <v>1938</v>
      </c>
      <c r="N18">
        <v>3998</v>
      </c>
      <c r="O18">
        <v>2412</v>
      </c>
      <c r="P18">
        <v>4944</v>
      </c>
      <c r="Q18">
        <v>1905</v>
      </c>
      <c r="R18">
        <v>4191</v>
      </c>
      <c r="AC18">
        <f>SUM(F18,H18,J18,L18,N18,P18,R18,T18,V18,X18,Z18,AB18)</f>
        <v>31874</v>
      </c>
    </row>
    <row r="19">
      <c r="A19" t="str">
        <v>20072</v>
      </c>
      <c r="B19" t="str">
        <v>aPTT</v>
      </c>
      <c r="C19" t="str">
        <v>30202</v>
      </c>
      <c r="D19">
        <v>70</v>
      </c>
      <c r="E19">
        <v>1446</v>
      </c>
      <c r="F19">
        <v>3589</v>
      </c>
      <c r="G19">
        <v>1575</v>
      </c>
      <c r="H19">
        <v>3790</v>
      </c>
      <c r="I19">
        <v>1544</v>
      </c>
      <c r="J19">
        <v>4028</v>
      </c>
      <c r="K19">
        <v>1510</v>
      </c>
      <c r="L19">
        <v>3825</v>
      </c>
      <c r="M19">
        <v>1275</v>
      </c>
      <c r="N19">
        <v>3162</v>
      </c>
      <c r="O19">
        <v>1621</v>
      </c>
      <c r="P19">
        <v>3918</v>
      </c>
      <c r="Q19">
        <v>1327</v>
      </c>
      <c r="R19">
        <v>3354</v>
      </c>
      <c r="AC19">
        <f>SUM(F19,H19,J19,L19,N19,P19,R19,T19,V19,X19,Z19,AB19)</f>
        <v>25666</v>
      </c>
    </row>
    <row r="20">
      <c r="A20" t="str">
        <v>20073</v>
      </c>
      <c r="B20" t="str">
        <v>Thrombin Time (TT)</v>
      </c>
      <c r="C20" t="str">
        <v>30203</v>
      </c>
      <c r="D20">
        <v>80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AC20">
        <f>SUM(F20,H20,J20,L20,N20,P20,R20,T20,V20,X20,Z20,AB20)</f>
        <v>2</v>
      </c>
    </row>
    <row r="21">
      <c r="A21" t="str">
        <v>20134</v>
      </c>
      <c r="B21" t="str">
        <v>Mixing test</v>
      </c>
      <c r="C21" t="str">
        <v>37999</v>
      </c>
      <c r="D21">
        <v>260</v>
      </c>
      <c r="E21">
        <v>1</v>
      </c>
      <c r="F21">
        <v>2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AC21">
        <f>SUM(F21,H21,J21,L21,N21,P21,R21,T21,V21,X21,Z21,AB21)</f>
        <v>5</v>
      </c>
    </row>
    <row r="22">
      <c r="A22" t="str">
        <v>20139</v>
      </c>
      <c r="B22" t="str">
        <v>D-dimer (Quantitative)</v>
      </c>
      <c r="C22" t="str">
        <v>30208</v>
      </c>
      <c r="D22">
        <v>300</v>
      </c>
      <c r="E22">
        <v>52</v>
      </c>
      <c r="F22">
        <v>82</v>
      </c>
      <c r="G22">
        <v>54</v>
      </c>
      <c r="H22">
        <v>85</v>
      </c>
      <c r="I22">
        <v>49</v>
      </c>
      <c r="J22">
        <v>76</v>
      </c>
      <c r="K22">
        <v>60</v>
      </c>
      <c r="L22">
        <v>91</v>
      </c>
      <c r="M22">
        <v>40</v>
      </c>
      <c r="N22">
        <v>83</v>
      </c>
      <c r="O22">
        <v>55</v>
      </c>
      <c r="P22">
        <v>94</v>
      </c>
      <c r="Q22">
        <v>53</v>
      </c>
      <c r="R22">
        <v>76</v>
      </c>
      <c r="AC22">
        <f>SUM(F22,H22,J22,L22,N22,P22,R22,T22,V22,X22,Z22,AB22)</f>
        <v>587</v>
      </c>
    </row>
    <row r="23">
      <c r="A23" t="str">
        <v>20216</v>
      </c>
      <c r="B23" t="str">
        <v>Giamsa stain</v>
      </c>
      <c r="C23" t="str">
        <v>37999</v>
      </c>
      <c r="D23">
        <v>50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AC23">
        <f>SUM(F23,H23,J23,L23,N23,P23,R23,T23,V23,X23,Z23,AB23)</f>
        <v>4</v>
      </c>
    </row>
    <row r="24">
      <c r="A24" t="str">
        <v>20135</v>
      </c>
      <c r="B24" t="str">
        <v>Euglobulin Lysis Time</v>
      </c>
      <c r="C24" t="str">
        <v>30206</v>
      </c>
      <c r="D24">
        <v>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AC24">
        <f>SUM(F24,H24,J24,L24,N24,P24,R24,T24,V24,X24,Z24,AB24)</f>
        <v>0</v>
      </c>
    </row>
    <row r="25">
      <c r="A25" t="str">
        <v>20140</v>
      </c>
      <c r="B25" t="str">
        <v>Antithrombin III</v>
      </c>
      <c r="C25" t="str">
        <v>30229</v>
      </c>
      <c r="D25">
        <v>250</v>
      </c>
      <c r="E25">
        <v>6</v>
      </c>
      <c r="F25">
        <v>6</v>
      </c>
      <c r="G25">
        <v>5</v>
      </c>
      <c r="H25">
        <v>5</v>
      </c>
      <c r="I25">
        <v>3</v>
      </c>
      <c r="J25">
        <v>4</v>
      </c>
      <c r="K25">
        <v>4</v>
      </c>
      <c r="L25">
        <v>4</v>
      </c>
      <c r="M25">
        <v>1</v>
      </c>
      <c r="N25">
        <v>1</v>
      </c>
      <c r="O25">
        <v>2</v>
      </c>
      <c r="P25">
        <v>2</v>
      </c>
      <c r="Q25">
        <v>13</v>
      </c>
      <c r="R25">
        <v>13</v>
      </c>
      <c r="AC25">
        <f>SUM(F25,H25,J25,L25,N25,P25,R25,T25,V25,X25,Z25,AB25)</f>
        <v>35</v>
      </c>
    </row>
    <row r="26">
      <c r="A26" t="str">
        <v>20074</v>
      </c>
      <c r="B26" t="str">
        <v>Factor VIII assay</v>
      </c>
      <c r="C26" t="str">
        <v>30219</v>
      </c>
      <c r="D26">
        <v>750</v>
      </c>
      <c r="E26">
        <v>0</v>
      </c>
      <c r="F26">
        <v>0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11</v>
      </c>
      <c r="R26">
        <v>11</v>
      </c>
      <c r="AC26">
        <f>SUM(F26,H26,J26,L26,N26,P26,R26,T26,V26,X26,Z26,AB26)</f>
        <v>14</v>
      </c>
    </row>
    <row r="27">
      <c r="A27" t="str">
        <v>20136</v>
      </c>
      <c r="B27" t="str">
        <v>Factor VIII Inhibitor</v>
      </c>
      <c r="C27" t="str">
        <v>30220</v>
      </c>
      <c r="D27">
        <v>900</v>
      </c>
      <c r="E27">
        <v>16</v>
      </c>
      <c r="F27">
        <v>22</v>
      </c>
      <c r="G27">
        <v>5</v>
      </c>
      <c r="H27">
        <v>5</v>
      </c>
      <c r="I27">
        <v>5</v>
      </c>
      <c r="J27">
        <v>6</v>
      </c>
      <c r="K27">
        <v>1</v>
      </c>
      <c r="L27">
        <v>1</v>
      </c>
      <c r="M27">
        <v>5</v>
      </c>
      <c r="N27">
        <v>6</v>
      </c>
      <c r="O27">
        <v>4</v>
      </c>
      <c r="P27">
        <v>5</v>
      </c>
      <c r="Q27">
        <v>10</v>
      </c>
      <c r="R27">
        <v>14</v>
      </c>
      <c r="AC27">
        <f>SUM(F27,H27,J27,L27,N27,P27,R27,T27,V27,X27,Z27,AB27)</f>
        <v>59</v>
      </c>
    </row>
    <row r="28">
      <c r="A28" t="str">
        <v>20089</v>
      </c>
      <c r="B28" t="str">
        <v>Ham’s acid test</v>
      </c>
      <c r="C28" t="str">
        <v>30312</v>
      </c>
      <c r="D28">
        <v>90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AC28">
        <f>SUM(F28,H28,J28,L28,N28,P28,R28,T28,V28,X28,Z28,AB28)</f>
        <v>0</v>
      </c>
    </row>
    <row r="29">
      <c r="A29" t="str">
        <v>20221</v>
      </c>
      <c r="B29" t="str">
        <v>Protein C</v>
      </c>
      <c r="C29" t="str">
        <v>30227</v>
      </c>
      <c r="D29">
        <v>600</v>
      </c>
      <c r="E29">
        <v>6</v>
      </c>
      <c r="F29">
        <v>6</v>
      </c>
      <c r="G29">
        <v>5</v>
      </c>
      <c r="H29">
        <v>5</v>
      </c>
      <c r="I29">
        <v>6</v>
      </c>
      <c r="J29">
        <v>8</v>
      </c>
      <c r="K29">
        <v>4</v>
      </c>
      <c r="L29">
        <v>4</v>
      </c>
      <c r="M29">
        <v>3</v>
      </c>
      <c r="N29">
        <v>3</v>
      </c>
      <c r="O29">
        <v>1</v>
      </c>
      <c r="P29">
        <v>1</v>
      </c>
      <c r="Q29">
        <v>14</v>
      </c>
      <c r="R29">
        <v>14</v>
      </c>
      <c r="AC29">
        <f>SUM(F29,H29,J29,L29,N29,P29,R29,T29,V29,X29,Z29,AB29)</f>
        <v>41</v>
      </c>
    </row>
    <row r="30">
      <c r="A30" t="str">
        <v>20222</v>
      </c>
      <c r="B30" t="str">
        <v>Free Protein S Antigen</v>
      </c>
      <c r="C30" t="str">
        <v>30228</v>
      </c>
      <c r="D30">
        <v>700</v>
      </c>
      <c r="E30">
        <v>5</v>
      </c>
      <c r="F30">
        <v>5</v>
      </c>
      <c r="G30">
        <v>5</v>
      </c>
      <c r="H30">
        <v>5</v>
      </c>
      <c r="I30">
        <v>6</v>
      </c>
      <c r="J30">
        <v>8</v>
      </c>
      <c r="K30">
        <v>4</v>
      </c>
      <c r="L30">
        <v>4</v>
      </c>
      <c r="M30">
        <v>3</v>
      </c>
      <c r="N30">
        <v>3</v>
      </c>
      <c r="O30">
        <v>1</v>
      </c>
      <c r="P30">
        <v>1</v>
      </c>
      <c r="Q30">
        <v>12</v>
      </c>
      <c r="R30">
        <v>12</v>
      </c>
      <c r="AC30">
        <f>SUM(F30,H30,J30,L30,N30,P30,R30,T30,V30,X30,Z30,AB30)</f>
        <v>38</v>
      </c>
    </row>
    <row r="31">
      <c r="A31" t="str">
        <v>20067</v>
      </c>
      <c r="B31" t="str">
        <v>G-6-PD</v>
      </c>
      <c r="C31" t="str">
        <v>30310</v>
      </c>
      <c r="D31">
        <v>60</v>
      </c>
      <c r="E31">
        <v>160</v>
      </c>
      <c r="F31">
        <v>167</v>
      </c>
      <c r="G31">
        <v>149</v>
      </c>
      <c r="H31">
        <v>150</v>
      </c>
      <c r="I31">
        <v>119</v>
      </c>
      <c r="J31">
        <v>122</v>
      </c>
      <c r="K31">
        <v>110</v>
      </c>
      <c r="L31">
        <v>119</v>
      </c>
      <c r="M31">
        <v>122</v>
      </c>
      <c r="N31">
        <v>128</v>
      </c>
      <c r="O31">
        <v>143</v>
      </c>
      <c r="P31">
        <v>147</v>
      </c>
      <c r="Q31">
        <v>117</v>
      </c>
      <c r="R31">
        <v>126</v>
      </c>
      <c r="AC31">
        <f>SUM(F31,H31,J31,L31,N31,P31,R31,T31,V31,X31,Z31,AB31)</f>
        <v>959</v>
      </c>
    </row>
    <row r="32">
      <c r="A32" t="str">
        <v>-</v>
      </c>
      <c r="B32" t="str">
        <v>DCIP</v>
      </c>
      <c r="C32" t="str">
        <v>30213</v>
      </c>
      <c r="D32">
        <v>70</v>
      </c>
      <c r="E32">
        <v>320</v>
      </c>
      <c r="F32">
        <v>330</v>
      </c>
      <c r="G32">
        <v>250</v>
      </c>
      <c r="H32">
        <v>295</v>
      </c>
      <c r="I32">
        <v>208</v>
      </c>
      <c r="J32">
        <v>332</v>
      </c>
      <c r="K32">
        <v>292</v>
      </c>
      <c r="L32">
        <v>335</v>
      </c>
      <c r="M32">
        <v>277</v>
      </c>
      <c r="N32">
        <v>331</v>
      </c>
      <c r="O32">
        <v>302</v>
      </c>
      <c r="P32">
        <v>313</v>
      </c>
      <c r="Q32">
        <v>199</v>
      </c>
      <c r="R32">
        <v>229</v>
      </c>
      <c r="AC32">
        <f>SUM(F32,H32,J32,L32,N32,P32,R32,T32,V32,X32,Z32,AB32)</f>
        <v>2165</v>
      </c>
    </row>
    <row r="33">
      <c r="A33" t="str">
        <v>20138</v>
      </c>
      <c r="B33" t="str">
        <v>Fibrinogen</v>
      </c>
      <c r="C33" t="str">
        <v>30214</v>
      </c>
      <c r="D33">
        <v>350</v>
      </c>
      <c r="E33">
        <v>98</v>
      </c>
      <c r="F33">
        <v>581</v>
      </c>
      <c r="G33">
        <v>103</v>
      </c>
      <c r="H33">
        <v>511</v>
      </c>
      <c r="I33">
        <v>157</v>
      </c>
      <c r="J33">
        <v>619</v>
      </c>
      <c r="K33">
        <v>110</v>
      </c>
      <c r="L33">
        <v>490</v>
      </c>
      <c r="M33">
        <v>109</v>
      </c>
      <c r="N33">
        <v>417</v>
      </c>
      <c r="O33">
        <v>134</v>
      </c>
      <c r="P33">
        <v>500</v>
      </c>
      <c r="Q33">
        <v>115</v>
      </c>
      <c r="R33">
        <v>576</v>
      </c>
      <c r="AC33">
        <f>SUM(F33,H33,J33,L33,N33,P33,R33,T33,V33,X33,Z33,AB33)</f>
        <v>3694</v>
      </c>
    </row>
    <row r="34">
      <c r="A34" t="str">
        <v>20120</v>
      </c>
      <c r="B34" t="str">
        <v>Inclusion bodies</v>
      </c>
      <c r="C34" t="str">
        <v>30113</v>
      </c>
      <c r="D34">
        <v>30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2</v>
      </c>
      <c r="L34">
        <v>5</v>
      </c>
      <c r="M34">
        <v>1</v>
      </c>
      <c r="N34">
        <v>1</v>
      </c>
      <c r="O34">
        <v>0</v>
      </c>
      <c r="P34">
        <v>0</v>
      </c>
      <c r="Q34">
        <v>1</v>
      </c>
      <c r="R34">
        <v>2</v>
      </c>
      <c r="AC34">
        <f>SUM(F34,H34,J34,L34,N34,P34,R34,T34,V34,X34,Z34,AB34)</f>
        <v>9</v>
      </c>
    </row>
    <row r="35">
      <c r="A35" t="str">
        <v>20223</v>
      </c>
      <c r="B35" t="str">
        <v>PLT count (Sodium Citrate)</v>
      </c>
      <c r="C35" t="str">
        <v>-</v>
      </c>
      <c r="D35">
        <v>90</v>
      </c>
      <c r="E35">
        <v>28</v>
      </c>
      <c r="F35">
        <v>55</v>
      </c>
      <c r="G35">
        <v>32</v>
      </c>
      <c r="H35">
        <v>70</v>
      </c>
      <c r="I35">
        <v>30</v>
      </c>
      <c r="J35">
        <v>81</v>
      </c>
      <c r="K35">
        <v>25</v>
      </c>
      <c r="L35">
        <v>63</v>
      </c>
      <c r="M35">
        <v>20</v>
      </c>
      <c r="N35">
        <v>52</v>
      </c>
      <c r="O35">
        <v>18</v>
      </c>
      <c r="P35">
        <v>55</v>
      </c>
      <c r="Q35">
        <v>10</v>
      </c>
      <c r="R35">
        <v>35</v>
      </c>
      <c r="AC35">
        <f>SUM(F35,H35,J35,L35,N35,P35,R35,T35,V35,X35,Z35,AB35)</f>
        <v>411</v>
      </c>
    </row>
    <row r="36">
      <c r="A36" t="str">
        <v>-</v>
      </c>
      <c r="B36" t="str">
        <v>Hematocrit</v>
      </c>
      <c r="C36" t="str">
        <v>20005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C36">
        <f>SUM(F36,H36,J36,L36,N36,P36,R36,T36,V36,X36,Z36,AB36)</f>
        <v>0</v>
      </c>
    </row>
    <row r="37">
      <c r="B37" t="str">
        <v>Grand Total</v>
      </c>
      <c r="E37">
        <f>SUM(E3:E36)</f>
        <v>18114</v>
      </c>
      <c r="F37">
        <f>SUM(F3:F36)</f>
        <v>33206</v>
      </c>
      <c r="G37">
        <f>SUM(G3:G36)</f>
        <v>17356</v>
      </c>
      <c r="H37">
        <f>SUM(H3:H36)</f>
        <v>31964</v>
      </c>
      <c r="I37">
        <f>SUM(I3:I36)</f>
        <v>17589</v>
      </c>
      <c r="J37">
        <f>SUM(J3:J36)</f>
        <v>33386</v>
      </c>
      <c r="K37">
        <f>SUM(K3:K36)</f>
        <v>18620</v>
      </c>
      <c r="L37">
        <f>SUM(L3:L36)</f>
        <v>33855</v>
      </c>
      <c r="M37">
        <f>SUM(M3:M36)</f>
        <v>15777</v>
      </c>
      <c r="N37">
        <f>SUM(N3:N36)</f>
        <v>28598</v>
      </c>
      <c r="O37">
        <f>SUM(O3:O36)</f>
        <v>18849</v>
      </c>
      <c r="P37">
        <f>SUM(P3:P36)</f>
        <v>33685</v>
      </c>
      <c r="Q37">
        <f>SUM(Q3:Q36)</f>
        <v>14873</v>
      </c>
      <c r="R37">
        <f>SUM(R3:R36)</f>
        <v>28284</v>
      </c>
      <c r="S37">
        <f>SUM(S3:S36)</f>
        <v>0</v>
      </c>
      <c r="T37">
        <f>SUM(T3:T36)</f>
        <v>0</v>
      </c>
      <c r="U37">
        <f>SUM(U3:U36)</f>
        <v>0</v>
      </c>
      <c r="V37">
        <f>SUM(V3:V36)</f>
        <v>0</v>
      </c>
      <c r="W37">
        <f>SUM(W3:W36)</f>
        <v>0</v>
      </c>
      <c r="X37">
        <f>SUM(X3:X36)</f>
        <v>0</v>
      </c>
      <c r="Y37">
        <f>SUM(Y3:Y36)</f>
        <v>0</v>
      </c>
      <c r="Z37">
        <f>SUM(Z3:Z36)</f>
        <v>0</v>
      </c>
      <c r="AA37">
        <f>SUM(AA3:AA36)</f>
        <v>0</v>
      </c>
      <c r="AB37">
        <f>SUM(AB3:AB36)</f>
        <v>0</v>
      </c>
      <c r="AC37">
        <f>SUM(AC3:AC36)</f>
        <v>222978</v>
      </c>
    </row>
  </sheetData>
  <mergeCells count="17">
    <mergeCell ref="G1:H1"/>
    <mergeCell ref="I1:J1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numberStoredAsText="1" sqref="A1:AE10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1006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B3" t="str">
        <v>Adeno / Rota virus (Rapid test)</v>
      </c>
      <c r="E3">
        <v>48</v>
      </c>
      <c r="F3">
        <v>105</v>
      </c>
      <c r="G3">
        <v>39</v>
      </c>
      <c r="H3">
        <v>89</v>
      </c>
      <c r="I3">
        <v>46</v>
      </c>
      <c r="J3">
        <v>107</v>
      </c>
      <c r="K3">
        <v>68</v>
      </c>
      <c r="L3">
        <v>162</v>
      </c>
      <c r="M3">
        <v>58</v>
      </c>
      <c r="N3">
        <v>114</v>
      </c>
      <c r="AC3">
        <f>SUM(F3,H3,J3,L3,N3,P3,R3,T3,V3,X3,Z3,AB3)</f>
        <v>577</v>
      </c>
    </row>
    <row r="4">
      <c r="B4" t="str">
        <v>Apt ' s test</v>
      </c>
      <c r="E4">
        <v>0</v>
      </c>
      <c r="F4">
        <v>0</v>
      </c>
      <c r="G4">
        <v>1</v>
      </c>
      <c r="H4">
        <v>1</v>
      </c>
      <c r="I4">
        <v>4</v>
      </c>
      <c r="J4">
        <v>4</v>
      </c>
      <c r="K4">
        <v>3</v>
      </c>
      <c r="L4">
        <v>5</v>
      </c>
      <c r="M4">
        <v>8</v>
      </c>
      <c r="N4">
        <v>8</v>
      </c>
      <c r="AC4">
        <f>SUM(F4,H4,J4,L4,N4,P4,R4,T4,V4,X4,Z4,AB4)</f>
        <v>18</v>
      </c>
    </row>
    <row r="5">
      <c r="B5" t="str">
        <v>Crystal in body fluid</v>
      </c>
      <c r="E5">
        <v>11</v>
      </c>
      <c r="F5">
        <v>18</v>
      </c>
      <c r="G5">
        <v>10</v>
      </c>
      <c r="H5">
        <v>19</v>
      </c>
      <c r="I5">
        <v>10</v>
      </c>
      <c r="J5">
        <v>20</v>
      </c>
      <c r="K5">
        <v>10</v>
      </c>
      <c r="L5">
        <v>15</v>
      </c>
      <c r="M5">
        <v>7</v>
      </c>
      <c r="N5">
        <v>17</v>
      </c>
      <c r="AC5">
        <f>SUM(F5,H5,J5,L5,N5,P5,R5,T5,V5,X5,Z5,AB5)</f>
        <v>89</v>
      </c>
    </row>
    <row r="6">
      <c r="B6" t="str">
        <v>Fecal occult blood</v>
      </c>
      <c r="E6">
        <v>263</v>
      </c>
      <c r="F6">
        <v>293</v>
      </c>
      <c r="G6">
        <v>265</v>
      </c>
      <c r="H6">
        <v>293</v>
      </c>
      <c r="I6">
        <v>364</v>
      </c>
      <c r="J6">
        <v>401</v>
      </c>
      <c r="K6">
        <v>366</v>
      </c>
      <c r="L6">
        <v>407</v>
      </c>
      <c r="M6">
        <v>320</v>
      </c>
      <c r="N6">
        <v>351</v>
      </c>
      <c r="AC6">
        <f>SUM(F6,H6,J6,L6,N6,P6,R6,T6,V6,X6,Z6,AB6)</f>
        <v>1745</v>
      </c>
    </row>
    <row r="7">
      <c r="B7" t="str">
        <v>pH</v>
      </c>
      <c r="E7">
        <v>25</v>
      </c>
      <c r="F7">
        <v>62</v>
      </c>
      <c r="G7">
        <v>24</v>
      </c>
      <c r="H7">
        <v>63</v>
      </c>
      <c r="I7">
        <v>28</v>
      </c>
      <c r="J7">
        <v>52</v>
      </c>
      <c r="K7">
        <v>28</v>
      </c>
      <c r="L7">
        <v>64</v>
      </c>
      <c r="M7">
        <v>17</v>
      </c>
      <c r="N7">
        <v>48</v>
      </c>
      <c r="AC7">
        <f>SUM(F7,H7,J7,L7,N7,P7,R7,T7,V7,X7,Z7,AB7)</f>
        <v>289</v>
      </c>
    </row>
    <row r="8">
      <c r="B8" t="str">
        <v>Pregnancy test</v>
      </c>
      <c r="E8">
        <v>280</v>
      </c>
      <c r="F8">
        <v>407</v>
      </c>
      <c r="G8">
        <v>272</v>
      </c>
      <c r="H8">
        <v>435</v>
      </c>
      <c r="I8">
        <v>278</v>
      </c>
      <c r="J8">
        <v>403</v>
      </c>
      <c r="K8">
        <v>389</v>
      </c>
      <c r="L8">
        <v>541</v>
      </c>
      <c r="M8">
        <v>344</v>
      </c>
      <c r="N8">
        <v>485</v>
      </c>
      <c r="AC8">
        <f>SUM(F8,H8,J8,L8,N8,P8,R8,T8,V8,X8,Z8,AB8)</f>
        <v>2271</v>
      </c>
    </row>
    <row r="9">
      <c r="B9" t="str">
        <v>Reducing substance</v>
      </c>
      <c r="E9">
        <v>1</v>
      </c>
      <c r="F9">
        <v>1</v>
      </c>
      <c r="G9">
        <v>1</v>
      </c>
      <c r="H9">
        <v>1</v>
      </c>
      <c r="I9">
        <v>3</v>
      </c>
      <c r="J9">
        <v>3</v>
      </c>
      <c r="K9">
        <v>2</v>
      </c>
      <c r="L9">
        <v>2</v>
      </c>
      <c r="M9">
        <v>0</v>
      </c>
      <c r="N9">
        <v>0</v>
      </c>
      <c r="AC9">
        <f>SUM(F9,H9,J9,L9,N9,P9,R9,T9,V9,X9,Z9,AB9)</f>
        <v>7</v>
      </c>
    </row>
    <row r="10">
      <c r="B10" t="str">
        <v>Semenalysis</v>
      </c>
      <c r="E10">
        <v>8</v>
      </c>
      <c r="F10">
        <v>8</v>
      </c>
      <c r="G10">
        <v>2</v>
      </c>
      <c r="H10">
        <v>2</v>
      </c>
      <c r="I10">
        <v>12</v>
      </c>
      <c r="J10">
        <v>12</v>
      </c>
      <c r="K10">
        <v>7</v>
      </c>
      <c r="L10">
        <v>7</v>
      </c>
      <c r="M10">
        <v>7</v>
      </c>
      <c r="N10">
        <v>7</v>
      </c>
      <c r="AC10">
        <f>SUM(F10,H10,J10,L10,N10,P10,R10,T10,V10,X10,Z10,AB10)</f>
        <v>36</v>
      </c>
    </row>
    <row r="11">
      <c r="B11" t="str">
        <v>Specific gravity</v>
      </c>
      <c r="E11">
        <v>46</v>
      </c>
      <c r="F11">
        <v>357</v>
      </c>
      <c r="G11">
        <v>45</v>
      </c>
      <c r="H11">
        <v>325</v>
      </c>
      <c r="I11">
        <v>39</v>
      </c>
      <c r="J11">
        <v>316</v>
      </c>
      <c r="K11">
        <v>29</v>
      </c>
      <c r="L11">
        <v>333</v>
      </c>
      <c r="M11">
        <v>27</v>
      </c>
      <c r="N11">
        <v>305</v>
      </c>
      <c r="AC11">
        <f>SUM(F11,H11,J11,L11,N11,P11,R11,T11,V11,X11,Z11,AB11)</f>
        <v>1636</v>
      </c>
    </row>
    <row r="12">
      <c r="B12" t="str">
        <v>Sperm Preparation for IUI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7</v>
      </c>
      <c r="L12">
        <v>7</v>
      </c>
      <c r="M12">
        <v>5</v>
      </c>
      <c r="N12">
        <v>5</v>
      </c>
      <c r="AC12">
        <f>SUM(F12,H12,J12,L12,N12,P12,R12,T12,V12,X12,Z12,AB12)</f>
        <v>13</v>
      </c>
    </row>
    <row r="13">
      <c r="B13" t="str">
        <v>Stool examination</v>
      </c>
      <c r="E13">
        <v>262</v>
      </c>
      <c r="F13">
        <v>404</v>
      </c>
      <c r="G13">
        <v>203</v>
      </c>
      <c r="H13">
        <v>311</v>
      </c>
      <c r="I13">
        <v>275</v>
      </c>
      <c r="J13">
        <v>402</v>
      </c>
      <c r="K13">
        <v>366</v>
      </c>
      <c r="L13">
        <v>530</v>
      </c>
      <c r="M13">
        <v>327</v>
      </c>
      <c r="N13">
        <v>456</v>
      </c>
      <c r="AC13">
        <f>SUM(F13,H13,J13,L13,N13,P13,R13,T13,V13,X13,Z13,AB13)</f>
        <v>2103</v>
      </c>
    </row>
    <row r="14">
      <c r="B14" t="str">
        <v>Urinalysis</v>
      </c>
      <c r="E14">
        <v>4623</v>
      </c>
      <c r="F14">
        <v>6502</v>
      </c>
      <c r="G14">
        <v>4239</v>
      </c>
      <c r="H14">
        <v>5953</v>
      </c>
      <c r="I14">
        <v>3996</v>
      </c>
      <c r="J14">
        <v>5750</v>
      </c>
      <c r="K14">
        <v>4613</v>
      </c>
      <c r="L14">
        <v>6342</v>
      </c>
      <c r="M14">
        <v>4092</v>
      </c>
      <c r="N14">
        <v>5615</v>
      </c>
      <c r="AC14">
        <f>SUM(F14,H14,J14,L14,N14,P14,R14,T14,V14,X14,Z14,AB14)</f>
        <v>30162</v>
      </c>
    </row>
    <row r="15">
      <c r="B15" t="str">
        <v>Urine Albumin</v>
      </c>
      <c r="E15">
        <v>955</v>
      </c>
      <c r="F15">
        <v>958</v>
      </c>
      <c r="G15">
        <v>963</v>
      </c>
      <c r="H15">
        <v>963</v>
      </c>
      <c r="I15">
        <v>980</v>
      </c>
      <c r="J15">
        <v>981</v>
      </c>
      <c r="K15">
        <v>944</v>
      </c>
      <c r="L15">
        <v>944</v>
      </c>
      <c r="M15">
        <v>950</v>
      </c>
      <c r="N15">
        <v>950</v>
      </c>
      <c r="AC15">
        <f>SUM(F15,H15,J15,L15,N15,P15,R15,T15,V15,X15,Z15,AB15)</f>
        <v>4796</v>
      </c>
    </row>
    <row r="16">
      <c r="B16" t="str">
        <v>Urine Glucose</v>
      </c>
      <c r="E16">
        <v>958</v>
      </c>
      <c r="F16">
        <v>967</v>
      </c>
      <c r="G16">
        <v>962</v>
      </c>
      <c r="H16">
        <v>963</v>
      </c>
      <c r="I16">
        <v>981</v>
      </c>
      <c r="J16">
        <v>988</v>
      </c>
      <c r="K16">
        <v>937</v>
      </c>
      <c r="L16">
        <v>943</v>
      </c>
      <c r="M16">
        <v>949</v>
      </c>
      <c r="N16">
        <v>956</v>
      </c>
      <c r="AC16">
        <f>SUM(F16,H16,J16,L16,N16,P16,R16,T16,V16,X16,Z16,AB16)</f>
        <v>4817</v>
      </c>
    </row>
    <row r="17">
      <c r="B17" t="str">
        <v>Urine Ketamine(จุลทรรศน์)</v>
      </c>
      <c r="E17">
        <v>112</v>
      </c>
      <c r="F17">
        <v>140</v>
      </c>
      <c r="G17">
        <v>80</v>
      </c>
      <c r="H17">
        <v>96</v>
      </c>
      <c r="I17">
        <v>83</v>
      </c>
      <c r="J17">
        <v>100</v>
      </c>
      <c r="K17">
        <v>117</v>
      </c>
      <c r="L17">
        <v>138</v>
      </c>
      <c r="M17">
        <v>118</v>
      </c>
      <c r="N17">
        <v>134</v>
      </c>
      <c r="AC17">
        <f>SUM(F17,H17,J17,L17,N17,P17,R17,T17,V17,X17,Z17,AB17)</f>
        <v>608</v>
      </c>
    </row>
    <row r="18">
      <c r="B18" t="str">
        <v>Urine Marijuana (จุลทรรศน์)</v>
      </c>
      <c r="E18">
        <v>160</v>
      </c>
      <c r="F18">
        <v>233</v>
      </c>
      <c r="G18">
        <v>122</v>
      </c>
      <c r="H18">
        <v>187</v>
      </c>
      <c r="I18">
        <v>136</v>
      </c>
      <c r="J18">
        <v>207</v>
      </c>
      <c r="K18">
        <v>183</v>
      </c>
      <c r="L18">
        <v>249</v>
      </c>
      <c r="M18">
        <v>166</v>
      </c>
      <c r="N18">
        <v>236</v>
      </c>
      <c r="AC18">
        <f>SUM(F18,H18,J18,L18,N18,P18,R18,T18,V18,X18,Z18,AB18)</f>
        <v>1112</v>
      </c>
    </row>
    <row r="19">
      <c r="B19" t="str">
        <v>Urine Meth-amphetamine(จุลทรรศน์)</v>
      </c>
      <c r="E19">
        <v>516</v>
      </c>
      <c r="F19">
        <v>690</v>
      </c>
      <c r="G19">
        <v>313</v>
      </c>
      <c r="H19">
        <v>448</v>
      </c>
      <c r="I19">
        <v>303</v>
      </c>
      <c r="J19">
        <v>456</v>
      </c>
      <c r="K19">
        <v>620</v>
      </c>
      <c r="L19">
        <v>750</v>
      </c>
      <c r="M19">
        <v>979</v>
      </c>
      <c r="N19">
        <v>1118</v>
      </c>
      <c r="AC19">
        <f>SUM(F19,H19,J19,L19,N19,P19,R19,T19,V19,X19,Z19,AB19)</f>
        <v>3462</v>
      </c>
    </row>
    <row r="20">
      <c r="B20" t="str">
        <v>Urine morphine(จุลทรรศน์)</v>
      </c>
      <c r="E20">
        <v>24</v>
      </c>
      <c r="F20">
        <v>26</v>
      </c>
      <c r="G20">
        <v>21</v>
      </c>
      <c r="H20">
        <v>24</v>
      </c>
      <c r="I20">
        <v>16</v>
      </c>
      <c r="J20">
        <v>19</v>
      </c>
      <c r="K20">
        <v>20</v>
      </c>
      <c r="L20">
        <v>22</v>
      </c>
      <c r="M20">
        <v>14</v>
      </c>
      <c r="N20">
        <v>15</v>
      </c>
      <c r="AC20">
        <f>SUM(F20,H20,J20,L20,N20,P20,R20,T20,V20,X20,Z20,AB20)</f>
        <v>106</v>
      </c>
    </row>
    <row r="21">
      <c r="B21" t="str">
        <v>Grand Total</v>
      </c>
      <c r="E21">
        <f>SUM(E3:E20)</f>
        <v>8292</v>
      </c>
      <c r="F21">
        <f>SUM(F3:F20)</f>
        <v>11171</v>
      </c>
      <c r="G21">
        <f>SUM(G3:G20)</f>
        <v>7562</v>
      </c>
      <c r="H21">
        <f>SUM(H3:H20)</f>
        <v>10173</v>
      </c>
      <c r="I21">
        <f>SUM(I3:I20)</f>
        <v>7555</v>
      </c>
      <c r="J21">
        <f>SUM(J3:J20)</f>
        <v>10222</v>
      </c>
      <c r="K21">
        <f>SUM(K3:K20)</f>
        <v>8709</v>
      </c>
      <c r="L21">
        <f>SUM(L3:L20)</f>
        <v>11461</v>
      </c>
      <c r="M21">
        <f>SUM(M3:M20)</f>
        <v>8388</v>
      </c>
      <c r="N21">
        <f>SUM(N3:N20)</f>
        <v>10820</v>
      </c>
      <c r="O21">
        <f>SUM(O3:O20)</f>
        <v>0</v>
      </c>
      <c r="P21">
        <f>SUM(P3:P20)</f>
        <v>0</v>
      </c>
      <c r="Q21">
        <f>SUM(Q3:Q20)</f>
        <v>0</v>
      </c>
      <c r="R21">
        <f>SUM(R3:R20)</f>
        <v>0</v>
      </c>
      <c r="S21">
        <f>SUM(S3:S20)</f>
        <v>0</v>
      </c>
      <c r="T21">
        <f>SUM(T3:T20)</f>
        <v>0</v>
      </c>
      <c r="U21">
        <f>SUM(U3:U20)</f>
        <v>0</v>
      </c>
      <c r="V21">
        <f>SUM(V3:V20)</f>
        <v>0</v>
      </c>
      <c r="W21">
        <f>SUM(W3:W20)</f>
        <v>0</v>
      </c>
      <c r="X21">
        <f>SUM(X3:X20)</f>
        <v>0</v>
      </c>
      <c r="Y21">
        <f>SUM(Y3:Y20)</f>
        <v>0</v>
      </c>
      <c r="Z21">
        <f>SUM(Z3:Z20)</f>
        <v>0</v>
      </c>
      <c r="AA21">
        <f>SUM(AA3:AA20)</f>
        <v>0</v>
      </c>
      <c r="AB21">
        <f>SUM(AB3:AB20)</f>
        <v>0</v>
      </c>
      <c r="AC21">
        <f>SUM(F21,H21,J21,L21,N21,P21,R21,T21,V21,X21,Z21,AB21)</f>
        <v>53847</v>
      </c>
    </row>
    <row r="22">
      <c r="AC22">
        <f>SUM(F22,H22,J22,L22,N22,P22,R22,T22,V22,X22,Z22,AB22)</f>
        <v>0</v>
      </c>
    </row>
    <row r="23">
      <c r="AC23">
        <f>SUM(F23,H23,J23,L23,N23,P23,R23,T23,V23,X23,Z23,AB23)</f>
        <v>0</v>
      </c>
    </row>
    <row r="24">
      <c r="AC24">
        <f>SUM(F24,H24,J24,L24,N24,P24,R24,T24,V24,X24,Z24,AB24)</f>
        <v>0</v>
      </c>
    </row>
    <row r="25">
      <c r="AC25">
        <f>SUM(F25,H25,J25,L25,N25,P25,R25,T25,V25,X25,Z25,AB25)</f>
        <v>0</v>
      </c>
    </row>
    <row r="26">
      <c r="AC26">
        <f>SUM(F26,H26,J26,L26,N26,P26,R26,T26,V26,X26,Z26,AB26)</f>
        <v>0</v>
      </c>
    </row>
    <row r="27">
      <c r="AC27">
        <f>SUM(F27,H27,J27,L27,N27,P27,R27,T27,V27,X27,Z27,AB27)</f>
        <v>0</v>
      </c>
    </row>
    <row r="28">
      <c r="AC28">
        <f>SUM(F28,H28,J28,L28,N28,P28,R28,T28,V28,X28,Z28,AB28)</f>
        <v>0</v>
      </c>
    </row>
    <row r="29">
      <c r="AC29">
        <f>SUM(F29,H29,J29,L29,N29,P29,R29,T29,V29,X29,Z29,AB29)</f>
        <v>0</v>
      </c>
    </row>
    <row r="30">
      <c r="AC30">
        <f>SUM(F30,H30,J30,L30,N30,P30,R30,T30,V30,X30,Z30,AB30)</f>
        <v>0</v>
      </c>
    </row>
    <row r="31">
      <c r="AC31">
        <f>SUM(F31,H31,J31,L31,N31,P31,R31,T31,V31,X31,Z31,AB31)</f>
        <v>0</v>
      </c>
    </row>
    <row r="32">
      <c r="AC32">
        <f>SUM(F32,H32,J32,L32,N32,P32,R32,T32,V32,X32,Z32,AB32)</f>
        <v>0</v>
      </c>
    </row>
    <row r="33">
      <c r="AC33">
        <f>SUM(F33,H33,J33,L33,N33,P33,R33,T33,V33,X33,Z33,AB33)</f>
        <v>0</v>
      </c>
    </row>
    <row r="34">
      <c r="AC34">
        <f>SUM(F34,H34,J34,L34,N34,P34,R34,T34,V34,X34,Z34,AB34)</f>
        <v>0</v>
      </c>
    </row>
    <row r="35">
      <c r="AC35">
        <f>SUM(F35,H35,J35,L35,N35,P35,R35,T35,V35,X35,Z35,AB35)</f>
        <v>0</v>
      </c>
    </row>
    <row r="36">
      <c r="AC36">
        <f>SUM(F36,H36,J36,L36,N36,P36,R36,T36,V36,X36,Z36,AB36)</f>
        <v>0</v>
      </c>
    </row>
    <row r="37">
      <c r="AC37">
        <f>SUM(F37,H37,J37,L37,N37,P37,R37,T37,V37,X37,Z37,AB37)</f>
        <v>0</v>
      </c>
    </row>
    <row r="38">
      <c r="AC38">
        <f>SUM(F38,H38,J38,L38,N38,P38,R38,T38,V38,X38,Z38,AB38)</f>
        <v>0</v>
      </c>
    </row>
    <row r="39">
      <c r="AC39">
        <f>SUM(F39,H39,J39,L39,N39,P39,R39,T39,V39,X39,Z39,AB39)</f>
        <v>0</v>
      </c>
    </row>
    <row r="40">
      <c r="AC40">
        <f>SUM(F40,H40,J40,L40,N40,P40,R40,T40,V40,X40,Z40,AB40)</f>
        <v>0</v>
      </c>
    </row>
  </sheetData>
  <mergeCells count="17">
    <mergeCell ref="G1:H1"/>
    <mergeCell ref="I1:J1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numberStoredAsText="1" sqref="A1:AE10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007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A3" t="str">
        <v>50000</v>
      </c>
      <c r="B3" t="str">
        <v>Gram stain</v>
      </c>
      <c r="C3" t="str">
        <v>35002</v>
      </c>
      <c r="D3">
        <v>65</v>
      </c>
      <c r="E3">
        <v>751</v>
      </c>
      <c r="F3">
        <v>1393</v>
      </c>
      <c r="G3">
        <v>630</v>
      </c>
      <c r="H3">
        <v>1237</v>
      </c>
      <c r="I3">
        <v>697</v>
      </c>
      <c r="J3">
        <v>1281</v>
      </c>
      <c r="K3">
        <v>614</v>
      </c>
      <c r="L3">
        <v>1237</v>
      </c>
      <c r="AC3">
        <f>SUM(F3,H3,J3,L3,N3,P3,R3,T3,V3,X3,Z3,AB3)</f>
        <v>5148</v>
      </c>
    </row>
    <row r="4">
      <c r="A4" t="str">
        <v>50002</v>
      </c>
      <c r="B4" t="str">
        <v>India ink prep.</v>
      </c>
      <c r="C4" t="str">
        <v>35003</v>
      </c>
      <c r="D4">
        <v>60</v>
      </c>
      <c r="E4">
        <v>7</v>
      </c>
      <c r="F4">
        <v>14</v>
      </c>
      <c r="G4">
        <v>4</v>
      </c>
      <c r="H4">
        <v>7</v>
      </c>
      <c r="I4">
        <v>3</v>
      </c>
      <c r="J4">
        <v>6</v>
      </c>
      <c r="K4">
        <v>5</v>
      </c>
      <c r="L4">
        <v>12</v>
      </c>
      <c r="AC4">
        <f>SUM(F4,H4,J4,L4,N4,P4,R4,T4,V4,X4,Z4,AB4)</f>
        <v>39</v>
      </c>
    </row>
    <row r="5">
      <c r="A5" t="str">
        <v>50004</v>
      </c>
      <c r="B5" t="str">
        <v>Modify AFB</v>
      </c>
      <c r="C5" t="str">
        <v>35005</v>
      </c>
      <c r="D5">
        <v>70</v>
      </c>
      <c r="E5">
        <v>20</v>
      </c>
      <c r="F5">
        <v>27</v>
      </c>
      <c r="G5">
        <v>19</v>
      </c>
      <c r="H5">
        <v>25</v>
      </c>
      <c r="I5">
        <v>23</v>
      </c>
      <c r="J5">
        <v>31</v>
      </c>
      <c r="K5">
        <v>13</v>
      </c>
      <c r="L5">
        <v>21</v>
      </c>
      <c r="AC5">
        <f>SUM(F5,H5,J5,L5,N5,P5,R5,T5,V5,X5,Z5,AB5)</f>
        <v>104</v>
      </c>
    </row>
    <row r="6">
      <c r="A6" t="str">
        <v>50006</v>
      </c>
      <c r="B6" t="str">
        <v>Culture พิเศษ Anaerobe</v>
      </c>
      <c r="C6" t="str">
        <v>35102</v>
      </c>
      <c r="D6">
        <v>300</v>
      </c>
      <c r="E6">
        <v>0</v>
      </c>
      <c r="F6">
        <v>0</v>
      </c>
      <c r="G6">
        <v>1</v>
      </c>
      <c r="H6">
        <v>2</v>
      </c>
      <c r="I6">
        <v>1</v>
      </c>
      <c r="J6">
        <v>1</v>
      </c>
      <c r="K6">
        <v>0</v>
      </c>
      <c r="L6">
        <v>1</v>
      </c>
      <c r="AC6">
        <f>SUM(F6,H6,J6,L6,N6,P6,R6,T6,V6,X6,Z6,AB6)</f>
        <v>4</v>
      </c>
    </row>
    <row r="7">
      <c r="A7" t="str">
        <v>50007</v>
      </c>
      <c r="B7" t="str">
        <v>(ยกเลิกใช้งาน)Culture TB, MAC(Culture อย่างเดียวไม่รวมทดสอบยา)</v>
      </c>
      <c r="C7" t="str">
        <v>35110</v>
      </c>
      <c r="D7">
        <v>400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AC7">
        <f>SUM(F7,H7,J7,L7,N7,P7,R7,T7,V7,X7,Z7,AB7)</f>
        <v>0</v>
      </c>
    </row>
    <row r="8">
      <c r="A8" t="str">
        <v>50008</v>
      </c>
      <c r="B8" t="str">
        <v>Culture Fungus</v>
      </c>
      <c r="C8" t="str">
        <v>35107</v>
      </c>
      <c r="D8">
        <v>300</v>
      </c>
      <c r="E8">
        <v>20</v>
      </c>
      <c r="F8">
        <v>2</v>
      </c>
      <c r="G8">
        <v>14</v>
      </c>
      <c r="H8">
        <v>2</v>
      </c>
      <c r="I8">
        <v>7</v>
      </c>
      <c r="J8">
        <v>15</v>
      </c>
      <c r="K8">
        <v>14</v>
      </c>
      <c r="L8">
        <v>14</v>
      </c>
      <c r="AC8">
        <f>SUM(F8,H8,J8,L8,N8,P8,R8,T8,V8,X8,Z8,AB8)</f>
        <v>33</v>
      </c>
    </row>
    <row r="9">
      <c r="A9" t="str">
        <v>50014</v>
      </c>
      <c r="B9" t="str">
        <v>Hemo c/s for fungus</v>
      </c>
      <c r="C9" t="str">
        <v>35105</v>
      </c>
      <c r="D9">
        <v>300</v>
      </c>
      <c r="E9">
        <v>25</v>
      </c>
      <c r="F9">
        <v>8</v>
      </c>
      <c r="G9">
        <v>11</v>
      </c>
      <c r="H9">
        <v>8</v>
      </c>
      <c r="I9">
        <v>16</v>
      </c>
      <c r="J9">
        <v>26</v>
      </c>
      <c r="K9">
        <v>12</v>
      </c>
      <c r="L9">
        <v>17</v>
      </c>
      <c r="AC9">
        <f>SUM(F9,H9,J9,L9,N9,P9,R9,T9,V9,X9,Z9,AB9)</f>
        <v>59</v>
      </c>
    </row>
    <row r="10">
      <c r="A10" t="str">
        <v>50016</v>
      </c>
      <c r="B10" t="str">
        <v>Hemoculture for TB</v>
      </c>
      <c r="C10" t="str">
        <v>35110</v>
      </c>
      <c r="D10">
        <v>400</v>
      </c>
      <c r="E10">
        <v>12</v>
      </c>
      <c r="F10">
        <v>4</v>
      </c>
      <c r="G10">
        <v>12</v>
      </c>
      <c r="H10">
        <v>5</v>
      </c>
      <c r="I10">
        <v>7</v>
      </c>
      <c r="J10">
        <v>10</v>
      </c>
      <c r="K10">
        <v>9</v>
      </c>
      <c r="L10">
        <v>4</v>
      </c>
      <c r="AC10">
        <f>SUM(F10,H10,J10,L10,N10,P10,R10,T10,V10,X10,Z10,AB10)</f>
        <v>23</v>
      </c>
    </row>
    <row r="11">
      <c r="A11" t="str">
        <v>50017</v>
      </c>
      <c r="B11" t="str">
        <v>Bacteria identification</v>
      </c>
      <c r="D11">
        <v>150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AC11">
        <f>SUM(F11,H11,J11,L11,N11,P11,R11,T11,V11,X11,Z11,AB11)</f>
        <v>0</v>
      </c>
    </row>
    <row r="12">
      <c r="A12" t="str">
        <v>50018</v>
      </c>
      <c r="B12" t="str">
        <v>AFB Sputum day 1</v>
      </c>
      <c r="C12" t="str">
        <v>35001</v>
      </c>
      <c r="D12">
        <v>60</v>
      </c>
      <c r="E12">
        <v>141</v>
      </c>
      <c r="F12">
        <v>208</v>
      </c>
      <c r="G12">
        <v>146</v>
      </c>
      <c r="H12">
        <v>203</v>
      </c>
      <c r="I12">
        <v>99</v>
      </c>
      <c r="J12">
        <v>178</v>
      </c>
      <c r="K12">
        <v>125</v>
      </c>
      <c r="L12">
        <v>207</v>
      </c>
      <c r="AC12">
        <f>SUM(F12,H12,J12,L12,N12,P12,R12,T12,V12,X12,Z12,AB12)</f>
        <v>796</v>
      </c>
    </row>
    <row r="13">
      <c r="A13" t="str">
        <v>50019</v>
      </c>
      <c r="B13" t="str">
        <v>AFB Sputum  day 2</v>
      </c>
      <c r="C13" t="str">
        <v>35001</v>
      </c>
      <c r="D13">
        <v>60</v>
      </c>
      <c r="E13">
        <v>93</v>
      </c>
      <c r="F13">
        <v>158</v>
      </c>
      <c r="G13">
        <v>112</v>
      </c>
      <c r="H13">
        <v>174</v>
      </c>
      <c r="I13">
        <v>88</v>
      </c>
      <c r="J13">
        <v>144</v>
      </c>
      <c r="K13">
        <v>99</v>
      </c>
      <c r="L13">
        <v>160</v>
      </c>
      <c r="AC13">
        <f>SUM(F13,H13,J13,L13,N13,P13,R13,T13,V13,X13,Z13,AB13)</f>
        <v>636</v>
      </c>
    </row>
    <row r="14">
      <c r="A14" t="str">
        <v>50021</v>
      </c>
      <c r="B14" t="str">
        <v>Urine culture (Mid Stream,Void)</v>
      </c>
      <c r="C14" t="str">
        <v>35101</v>
      </c>
      <c r="D14">
        <v>250</v>
      </c>
      <c r="E14">
        <v>109</v>
      </c>
      <c r="F14">
        <v>245</v>
      </c>
      <c r="G14">
        <v>87</v>
      </c>
      <c r="H14">
        <v>209</v>
      </c>
      <c r="I14">
        <v>102</v>
      </c>
      <c r="J14">
        <v>233</v>
      </c>
      <c r="K14">
        <v>103</v>
      </c>
      <c r="L14">
        <v>221</v>
      </c>
      <c r="AC14">
        <f>SUM(F14,H14,J14,L14,N14,P14,R14,T14,V14,X14,Z14,AB14)</f>
        <v>908</v>
      </c>
    </row>
    <row r="15">
      <c r="A15" t="str">
        <v>50022</v>
      </c>
      <c r="B15" t="str">
        <v>Urine culture (จากสายสวน,Foley Cath.)</v>
      </c>
      <c r="C15" t="str">
        <v>35101</v>
      </c>
      <c r="D15">
        <v>250</v>
      </c>
      <c r="E15">
        <v>215</v>
      </c>
      <c r="F15">
        <v>482</v>
      </c>
      <c r="G15">
        <v>187</v>
      </c>
      <c r="H15">
        <v>464</v>
      </c>
      <c r="I15">
        <v>189</v>
      </c>
      <c r="J15">
        <v>474</v>
      </c>
      <c r="K15">
        <v>184</v>
      </c>
      <c r="L15">
        <v>440</v>
      </c>
      <c r="AC15">
        <f>SUM(F15,H15,J15,L15,N15,P15,R15,T15,V15,X15,Z15,AB15)</f>
        <v>1860</v>
      </c>
    </row>
    <row r="16">
      <c r="A16" t="str">
        <v>50023</v>
      </c>
      <c r="B16" t="str">
        <v>Pus Swab from ... Culture</v>
      </c>
      <c r="C16" t="str">
        <v>35101</v>
      </c>
      <c r="D16">
        <v>250</v>
      </c>
      <c r="E16">
        <v>225</v>
      </c>
      <c r="F16">
        <v>415</v>
      </c>
      <c r="G16">
        <v>169</v>
      </c>
      <c r="H16">
        <v>347</v>
      </c>
      <c r="I16">
        <v>185</v>
      </c>
      <c r="J16">
        <v>329</v>
      </c>
      <c r="K16">
        <v>178</v>
      </c>
      <c r="L16">
        <v>354</v>
      </c>
      <c r="AC16">
        <f>SUM(F16,H16,J16,L16,N16,P16,R16,T16,V16,X16,Z16,AB16)</f>
        <v>1445</v>
      </c>
    </row>
    <row r="17">
      <c r="A17" t="str">
        <v>50024</v>
      </c>
      <c r="B17" t="str">
        <v>Sputum Culture</v>
      </c>
      <c r="C17" t="str">
        <v>35101</v>
      </c>
      <c r="D17">
        <v>250</v>
      </c>
      <c r="E17">
        <v>137</v>
      </c>
      <c r="F17">
        <v>258</v>
      </c>
      <c r="G17">
        <v>123</v>
      </c>
      <c r="H17">
        <v>244</v>
      </c>
      <c r="I17">
        <v>129</v>
      </c>
      <c r="J17">
        <v>243</v>
      </c>
      <c r="K17">
        <v>132</v>
      </c>
      <c r="L17">
        <v>247</v>
      </c>
      <c r="AC17">
        <f>SUM(F17,H17,J17,L17,N17,P17,R17,T17,V17,X17,Z17,AB17)</f>
        <v>992</v>
      </c>
    </row>
    <row r="18">
      <c r="A18" t="str">
        <v>50025</v>
      </c>
      <c r="B18" t="str">
        <v>Tracheal Suction Culture</v>
      </c>
      <c r="C18" t="str">
        <v>35101</v>
      </c>
      <c r="D18">
        <v>250</v>
      </c>
      <c r="E18">
        <v>316</v>
      </c>
      <c r="F18">
        <v>605</v>
      </c>
      <c r="G18">
        <v>306</v>
      </c>
      <c r="H18">
        <v>598</v>
      </c>
      <c r="I18">
        <v>317</v>
      </c>
      <c r="J18">
        <v>592</v>
      </c>
      <c r="K18">
        <v>285</v>
      </c>
      <c r="L18">
        <v>579</v>
      </c>
      <c r="AC18">
        <f>SUM(F18,H18,J18,L18,N18,P18,R18,T18,V18,X18,Z18,AB18)</f>
        <v>2374</v>
      </c>
    </row>
    <row r="19">
      <c r="A19" t="str">
        <v>50026</v>
      </c>
      <c r="B19" t="str">
        <v>Bronchoalveolar Lavage Culture</v>
      </c>
      <c r="C19" t="str">
        <v>35101</v>
      </c>
      <c r="D19">
        <v>250</v>
      </c>
      <c r="E19">
        <v>1</v>
      </c>
      <c r="F19">
        <v>2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AC19">
        <f>SUM(F19,H19,J19,L19,N19,P19,R19,T19,V19,X19,Z19,AB19)</f>
        <v>3</v>
      </c>
    </row>
    <row r="20">
      <c r="A20" t="str">
        <v>50027</v>
      </c>
      <c r="B20" t="str">
        <v>CSF Culture</v>
      </c>
      <c r="C20" t="str">
        <v>35101</v>
      </c>
      <c r="D20">
        <v>250</v>
      </c>
      <c r="E20">
        <v>77</v>
      </c>
      <c r="F20">
        <v>104</v>
      </c>
      <c r="G20">
        <v>54</v>
      </c>
      <c r="H20">
        <v>80</v>
      </c>
      <c r="I20">
        <v>64</v>
      </c>
      <c r="J20">
        <v>101</v>
      </c>
      <c r="K20">
        <v>45</v>
      </c>
      <c r="L20">
        <v>77</v>
      </c>
      <c r="AC20">
        <f>SUM(F20,H20,J20,L20,N20,P20,R20,T20,V20,X20,Z20,AB20)</f>
        <v>362</v>
      </c>
    </row>
    <row r="21">
      <c r="A21" t="str">
        <v>50028</v>
      </c>
      <c r="B21" t="str">
        <v>Fluid Culture from ...</v>
      </c>
      <c r="C21" t="str">
        <v>35101</v>
      </c>
      <c r="D21">
        <v>250</v>
      </c>
      <c r="E21">
        <v>86</v>
      </c>
      <c r="F21">
        <v>140</v>
      </c>
      <c r="G21">
        <v>70</v>
      </c>
      <c r="H21">
        <v>139</v>
      </c>
      <c r="I21">
        <v>72</v>
      </c>
      <c r="J21">
        <v>150</v>
      </c>
      <c r="K21">
        <v>56</v>
      </c>
      <c r="L21">
        <v>147</v>
      </c>
      <c r="AC21">
        <f>SUM(F21,H21,J21,L21,N21,P21,R21,T21,V21,X21,Z21,AB21)</f>
        <v>576</v>
      </c>
    </row>
    <row r="22">
      <c r="A22" t="str">
        <v>50029</v>
      </c>
      <c r="B22" t="str">
        <v>Stool Culture</v>
      </c>
      <c r="C22" t="str">
        <v>35101</v>
      </c>
      <c r="D22">
        <v>250</v>
      </c>
      <c r="E22">
        <v>125</v>
      </c>
      <c r="F22">
        <v>242</v>
      </c>
      <c r="G22">
        <v>82</v>
      </c>
      <c r="H22">
        <v>168</v>
      </c>
      <c r="I22">
        <v>105</v>
      </c>
      <c r="J22">
        <v>209</v>
      </c>
      <c r="K22">
        <v>139</v>
      </c>
      <c r="L22">
        <v>271</v>
      </c>
      <c r="AC22">
        <f>SUM(F22,H22,J22,L22,N22,P22,R22,T22,V22,X22,Z22,AB22)</f>
        <v>890</v>
      </c>
    </row>
    <row r="23">
      <c r="A23" t="str">
        <v>50030</v>
      </c>
      <c r="B23" t="str">
        <v>Rectal Swab Culture</v>
      </c>
      <c r="C23" t="str">
        <v>35101</v>
      </c>
      <c r="D23">
        <v>250</v>
      </c>
      <c r="E23">
        <v>14</v>
      </c>
      <c r="F23">
        <v>31</v>
      </c>
      <c r="G23">
        <v>14</v>
      </c>
      <c r="H23">
        <v>25</v>
      </c>
      <c r="I23">
        <v>8</v>
      </c>
      <c r="J23">
        <v>16</v>
      </c>
      <c r="K23">
        <v>7</v>
      </c>
      <c r="L23">
        <v>21</v>
      </c>
      <c r="AC23">
        <f>SUM(F23,H23,J23,L23,N23,P23,R23,T23,V23,X23,Z23,AB23)</f>
        <v>93</v>
      </c>
    </row>
    <row r="24">
      <c r="A24" t="str">
        <v>50031</v>
      </c>
      <c r="B24" t="str">
        <v>Aerobic C/S</v>
      </c>
      <c r="C24" t="str">
        <v>35101</v>
      </c>
      <c r="D24">
        <v>250</v>
      </c>
      <c r="E24">
        <v>36</v>
      </c>
      <c r="F24">
        <v>41</v>
      </c>
      <c r="G24">
        <v>36</v>
      </c>
      <c r="H24">
        <v>40</v>
      </c>
      <c r="I24">
        <v>26</v>
      </c>
      <c r="J24">
        <v>37</v>
      </c>
      <c r="K24">
        <v>28</v>
      </c>
      <c r="L24">
        <v>36</v>
      </c>
      <c r="AC24">
        <f>SUM(F24,H24,J24,L24,N24,P24,R24,T24,V24,X24,Z24,AB24)</f>
        <v>154</v>
      </c>
    </row>
    <row r="25">
      <c r="A25" t="str">
        <v>50032</v>
      </c>
      <c r="B25" t="str">
        <v>Hemoculture (ส่ง1 ขวด)</v>
      </c>
      <c r="C25" t="str">
        <v>35105</v>
      </c>
      <c r="D25">
        <v>450</v>
      </c>
      <c r="E25">
        <v>37</v>
      </c>
      <c r="F25">
        <v>49</v>
      </c>
      <c r="G25">
        <v>27</v>
      </c>
      <c r="H25">
        <v>36</v>
      </c>
      <c r="I25">
        <v>29</v>
      </c>
      <c r="J25">
        <v>45</v>
      </c>
      <c r="K25">
        <v>19</v>
      </c>
      <c r="L25">
        <v>51</v>
      </c>
      <c r="AC25">
        <f>SUM(F25,H25,J25,L25,N25,P25,R25,T25,V25,X25,Z25,AB25)</f>
        <v>181</v>
      </c>
    </row>
    <row r="26">
      <c r="A26" t="str">
        <v>50033</v>
      </c>
      <c r="B26" t="str">
        <v>Hemoculture ขวดที่1</v>
      </c>
      <c r="C26" t="str">
        <v>35105</v>
      </c>
      <c r="D26">
        <v>450</v>
      </c>
      <c r="E26">
        <v>651</v>
      </c>
      <c r="F26">
        <v>1314</v>
      </c>
      <c r="G26">
        <v>570</v>
      </c>
      <c r="H26">
        <v>1207</v>
      </c>
      <c r="I26">
        <v>36</v>
      </c>
      <c r="J26">
        <v>1364</v>
      </c>
      <c r="K26">
        <v>30</v>
      </c>
      <c r="L26">
        <v>1237</v>
      </c>
      <c r="AC26">
        <f>SUM(F26,H26,J26,L26,N26,P26,R26,T26,V26,X26,Z26,AB26)</f>
        <v>5122</v>
      </c>
    </row>
    <row r="27">
      <c r="A27" t="str">
        <v>50034</v>
      </c>
      <c r="B27" t="str">
        <v>Hemoculture ขวดที่2</v>
      </c>
      <c r="C27" t="str">
        <v>35105</v>
      </c>
      <c r="D27">
        <v>450</v>
      </c>
      <c r="E27">
        <v>633</v>
      </c>
      <c r="F27">
        <v>1271</v>
      </c>
      <c r="G27">
        <v>557</v>
      </c>
      <c r="H27">
        <v>1178</v>
      </c>
      <c r="I27">
        <v>20</v>
      </c>
      <c r="J27">
        <v>1335</v>
      </c>
      <c r="K27">
        <v>18</v>
      </c>
      <c r="L27">
        <v>1213</v>
      </c>
      <c r="AC27">
        <f>SUM(F27,H27,J27,L27,N27,P27,R27,T27,V27,X27,Z27,AB27)</f>
        <v>4997</v>
      </c>
    </row>
    <row r="28">
      <c r="A28" t="str">
        <v>50035</v>
      </c>
      <c r="B28" t="str">
        <v>Hemoculture ขวดที่3</v>
      </c>
      <c r="C28" t="str">
        <v>35105</v>
      </c>
      <c r="D28">
        <v>450</v>
      </c>
      <c r="E28">
        <v>23</v>
      </c>
      <c r="F28">
        <v>33</v>
      </c>
      <c r="G28">
        <v>25</v>
      </c>
      <c r="H28">
        <v>41</v>
      </c>
      <c r="I28">
        <v>2</v>
      </c>
      <c r="J28">
        <v>48</v>
      </c>
      <c r="K28">
        <v>2</v>
      </c>
      <c r="L28">
        <v>38</v>
      </c>
      <c r="AC28">
        <f>SUM(F28,H28,J28,L28,N28,P28,R28,T28,V28,X28,Z28,AB28)</f>
        <v>160</v>
      </c>
    </row>
    <row r="29">
      <c r="A29" t="str">
        <v>50037</v>
      </c>
      <c r="B29" t="str">
        <v>KOH preparation</v>
      </c>
      <c r="C29" t="str">
        <v>35004</v>
      </c>
      <c r="D29">
        <v>65</v>
      </c>
      <c r="E29">
        <v>9</v>
      </c>
      <c r="F29">
        <v>9</v>
      </c>
      <c r="G29">
        <v>12</v>
      </c>
      <c r="H29">
        <v>14</v>
      </c>
      <c r="I29">
        <v>4</v>
      </c>
      <c r="J29">
        <v>5</v>
      </c>
      <c r="K29">
        <v>10</v>
      </c>
      <c r="L29">
        <v>11</v>
      </c>
      <c r="AC29">
        <f>SUM(F29,H29,J29,L29,N29,P29,R29,T29,V29,X29,Z29,AB29)</f>
        <v>39</v>
      </c>
    </row>
    <row r="30">
      <c r="A30" t="str">
        <v>50041</v>
      </c>
      <c r="B30" t="str">
        <v>AFB Stain</v>
      </c>
      <c r="C30" t="str">
        <v>35001</v>
      </c>
      <c r="D30">
        <v>60</v>
      </c>
      <c r="E30">
        <v>104</v>
      </c>
      <c r="F30">
        <v>178</v>
      </c>
      <c r="G30">
        <v>55</v>
      </c>
      <c r="H30">
        <v>100</v>
      </c>
      <c r="I30">
        <v>71</v>
      </c>
      <c r="J30">
        <v>117</v>
      </c>
      <c r="K30">
        <v>101</v>
      </c>
      <c r="L30">
        <v>160</v>
      </c>
      <c r="AC30">
        <f>SUM(F30,H30,J30,L30,N30,P30,R30,T30,V30,X30,Z30,AB30)</f>
        <v>555</v>
      </c>
    </row>
    <row r="31">
      <c r="A31" t="str">
        <v>50042</v>
      </c>
      <c r="B31" t="str">
        <v>Blood (Central Line)</v>
      </c>
      <c r="C31" t="str">
        <v>35105</v>
      </c>
      <c r="D31">
        <v>450</v>
      </c>
      <c r="E31">
        <v>47</v>
      </c>
      <c r="F31">
        <v>61</v>
      </c>
      <c r="G31">
        <v>33</v>
      </c>
      <c r="H31">
        <v>73</v>
      </c>
      <c r="I31">
        <v>32</v>
      </c>
      <c r="J31">
        <v>63</v>
      </c>
      <c r="K31">
        <v>37</v>
      </c>
      <c r="L31">
        <v>65</v>
      </c>
      <c r="AC31">
        <f>SUM(F31,H31,J31,L31,N31,P31,R31,T31,V31,X31,Z31,AB31)</f>
        <v>262</v>
      </c>
    </row>
    <row r="32">
      <c r="A32" t="str">
        <v>50043</v>
      </c>
      <c r="B32" t="str">
        <v>Blood (Peripheral Line)</v>
      </c>
      <c r="C32" t="str">
        <v>35105</v>
      </c>
      <c r="D32">
        <v>450</v>
      </c>
      <c r="E32">
        <v>246</v>
      </c>
      <c r="F32">
        <v>450</v>
      </c>
      <c r="G32">
        <v>167</v>
      </c>
      <c r="H32">
        <v>348</v>
      </c>
      <c r="I32">
        <v>160</v>
      </c>
      <c r="J32">
        <v>347</v>
      </c>
      <c r="K32">
        <v>137</v>
      </c>
      <c r="L32">
        <v>365</v>
      </c>
      <c r="AC32">
        <f>SUM(F32,H32,J32,L32,N32,P32,R32,T32,V32,X32,Z32,AB32)</f>
        <v>1510</v>
      </c>
    </row>
    <row r="33">
      <c r="A33" t="str">
        <v>50044</v>
      </c>
      <c r="B33" t="str">
        <v>Respiratory tract Culture</v>
      </c>
      <c r="C33" t="str">
        <v>35101</v>
      </c>
      <c r="D33">
        <v>200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AC33">
        <f>SUM(F33,H33,J33,L33,N33,P33,R33,T33,V33,X33,Z33,AB33)</f>
        <v>0</v>
      </c>
    </row>
    <row r="34">
      <c r="A34" t="str">
        <v>50045</v>
      </c>
      <c r="B34" t="str">
        <v>Blood (A Line)</v>
      </c>
      <c r="C34" t="str">
        <v>35105</v>
      </c>
      <c r="D34">
        <v>450</v>
      </c>
      <c r="E34">
        <v>11</v>
      </c>
      <c r="F34">
        <v>24</v>
      </c>
      <c r="G34">
        <v>10</v>
      </c>
      <c r="H34">
        <v>20</v>
      </c>
      <c r="I34">
        <v>4</v>
      </c>
      <c r="J34">
        <v>13</v>
      </c>
      <c r="K34">
        <v>9</v>
      </c>
      <c r="L34">
        <v>17</v>
      </c>
      <c r="AC34">
        <f>SUM(F34,H34,J34,L34,N34,P34,R34,T34,V34,X34,Z34,AB34)</f>
        <v>74</v>
      </c>
    </row>
    <row r="35">
      <c r="A35" t="str">
        <v>50046</v>
      </c>
      <c r="B35" t="str">
        <v>AFB Tracheal Suction Day 1</v>
      </c>
      <c r="C35" t="str">
        <v>35001</v>
      </c>
      <c r="D35">
        <v>60</v>
      </c>
      <c r="E35">
        <v>40</v>
      </c>
      <c r="F35">
        <v>105</v>
      </c>
      <c r="G35">
        <v>33</v>
      </c>
      <c r="H35">
        <v>90</v>
      </c>
      <c r="I35">
        <v>38</v>
      </c>
      <c r="J35">
        <v>84</v>
      </c>
      <c r="K35">
        <v>40</v>
      </c>
      <c r="L35">
        <v>91</v>
      </c>
      <c r="AC35">
        <f>SUM(F35,H35,J35,L35,N35,P35,R35,T35,V35,X35,Z35,AB35)</f>
        <v>370</v>
      </c>
    </row>
    <row r="36">
      <c r="A36" t="str">
        <v>50047</v>
      </c>
      <c r="B36" t="str">
        <v>AFB Tracheal Suction Day 2</v>
      </c>
      <c r="C36" t="str">
        <v>35001</v>
      </c>
      <c r="D36">
        <v>60</v>
      </c>
      <c r="E36">
        <v>3</v>
      </c>
      <c r="F36">
        <v>86</v>
      </c>
      <c r="G36">
        <v>9</v>
      </c>
      <c r="H36">
        <v>65</v>
      </c>
      <c r="I36">
        <v>13</v>
      </c>
      <c r="J36">
        <v>55</v>
      </c>
      <c r="K36">
        <v>21</v>
      </c>
      <c r="L36">
        <v>64</v>
      </c>
      <c r="AC36">
        <f>SUM(F36,H36,J36,L36,N36,P36,R36,T36,V36,X36,Z36,AB36)</f>
        <v>270</v>
      </c>
    </row>
    <row r="37">
      <c r="A37" t="str">
        <v>50049</v>
      </c>
      <c r="B37" t="str">
        <v>Molecular Testing for TB</v>
      </c>
      <c r="C37" t="str">
        <v>36018</v>
      </c>
      <c r="D37">
        <v>880</v>
      </c>
      <c r="E37">
        <v>96</v>
      </c>
      <c r="F37">
        <v>111</v>
      </c>
      <c r="G37">
        <v>28</v>
      </c>
      <c r="H37">
        <v>27</v>
      </c>
      <c r="I37">
        <v>8</v>
      </c>
      <c r="J37">
        <v>13</v>
      </c>
      <c r="K37">
        <v>6</v>
      </c>
      <c r="L37">
        <v>9</v>
      </c>
      <c r="AC37">
        <f>SUM(F37,H37,J37,L37,N37,P37,R37,T37,V37,X37,Z37,AB37)</f>
        <v>160</v>
      </c>
    </row>
    <row r="38">
      <c r="A38" t="str">
        <v>50050</v>
      </c>
      <c r="B38" t="str">
        <v>- TB culture (liquid Culture)</v>
      </c>
      <c r="C38" t="str">
        <v>36036</v>
      </c>
      <c r="D38">
        <v>800</v>
      </c>
      <c r="E38">
        <v>152</v>
      </c>
      <c r="F38">
        <v>7</v>
      </c>
      <c r="G38">
        <v>129</v>
      </c>
      <c r="H38">
        <v>24</v>
      </c>
      <c r="I38">
        <v>49</v>
      </c>
      <c r="J38">
        <v>192</v>
      </c>
      <c r="K38">
        <v>36</v>
      </c>
      <c r="L38">
        <v>46</v>
      </c>
      <c r="AC38">
        <f>SUM(F38,H38,J38,L38,N38,P38,R38,T38,V38,X38,Z38,AB38)</f>
        <v>269</v>
      </c>
    </row>
    <row r="39">
      <c r="A39" t="str">
        <v>50051</v>
      </c>
      <c r="B39" t="str">
        <v>Molecular Testing for TB (โครงการวิจัย)</v>
      </c>
      <c r="C39" t="str">
        <v>36018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AC39">
        <f>SUM(F39,H39,J39,L39,N39,P39,R39,T39,V39,X39,Z39,AB39)</f>
        <v>0</v>
      </c>
    </row>
    <row r="40">
      <c r="A40" t="str">
        <v>50052</v>
      </c>
      <c r="B40" t="str">
        <v>ค่าขวดเพาะเชื้อวัณโรคในเลือด</v>
      </c>
      <c r="C40" t="str">
        <v>37999</v>
      </c>
      <c r="D40">
        <v>140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AC40">
        <f>SUM(F40,H40,J40,L40,N40,P40,R40,T40,V40,X40,Z40,AB40)</f>
        <v>0</v>
      </c>
    </row>
    <row r="41">
      <c r="A41" t="str">
        <v>50053</v>
      </c>
      <c r="B41" t="str">
        <v>Urine culture (สวนเก็บ,Intermittent cath.)</v>
      </c>
      <c r="C41" t="str">
        <v>35101</v>
      </c>
      <c r="D41">
        <v>250</v>
      </c>
      <c r="E41">
        <v>41</v>
      </c>
      <c r="F41">
        <v>79</v>
      </c>
      <c r="G41">
        <v>24</v>
      </c>
      <c r="H41">
        <v>65</v>
      </c>
      <c r="I41">
        <v>22</v>
      </c>
      <c r="J41">
        <v>68</v>
      </c>
      <c r="K41">
        <v>27</v>
      </c>
      <c r="L41">
        <v>72</v>
      </c>
      <c r="AC41">
        <f>SUM(F41,H41,J41,L41,N41,P41,R41,T41,V41,X41,Z41,AB41)</f>
        <v>284</v>
      </c>
    </row>
    <row r="42">
      <c r="A42" t="str">
        <v>50057</v>
      </c>
      <c r="B42" t="str">
        <v>Line Probe Assay (LPA) for TB(สคร6 ชลบุรี)</v>
      </c>
      <c r="C42" t="str">
        <v>36019</v>
      </c>
      <c r="D42">
        <v>0</v>
      </c>
      <c r="E42">
        <v>7</v>
      </c>
      <c r="F42">
        <v>4</v>
      </c>
      <c r="G42">
        <v>2</v>
      </c>
      <c r="H42">
        <v>3</v>
      </c>
      <c r="I42">
        <v>1</v>
      </c>
      <c r="J42">
        <v>1</v>
      </c>
      <c r="K42">
        <v>4</v>
      </c>
      <c r="L42">
        <v>3</v>
      </c>
      <c r="AC42">
        <f>SUM(F42,H42,J42,L42,N42,P42,R42,T42,V42,X42,Z42,AB42)</f>
        <v>11</v>
      </c>
    </row>
    <row r="43">
      <c r="A43" t="str">
        <v>50058</v>
      </c>
      <c r="B43" t="str">
        <v>TB Urine LAM Ag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AC43">
        <f>SUM(F43,H43,J43,L43,N43,P43,R43,T43,V43,X43,Z43,AB43)</f>
        <v>0</v>
      </c>
    </row>
    <row r="44">
      <c r="A44" t="str">
        <v>50059</v>
      </c>
      <c r="B44" t="str">
        <v>Drug susceptibility by MIC</v>
      </c>
      <c r="D44">
        <v>150</v>
      </c>
      <c r="E44">
        <v>1</v>
      </c>
      <c r="F44">
        <v>0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AC44">
        <f>SUM(F44,H44,J44,L44,N44,P44,R44,T44,V44,X44,Z44,AB44)</f>
        <v>0</v>
      </c>
    </row>
    <row r="45">
      <c r="A45" t="str">
        <v>50060</v>
      </c>
      <c r="B45" t="str">
        <v>Drug susceptibility by MIC#1</v>
      </c>
      <c r="D45">
        <v>150</v>
      </c>
      <c r="E45">
        <v>623</v>
      </c>
      <c r="F45">
        <v>0</v>
      </c>
      <c r="G45">
        <v>548</v>
      </c>
      <c r="H45">
        <v>2</v>
      </c>
      <c r="I45">
        <v>0</v>
      </c>
      <c r="J45">
        <v>2</v>
      </c>
      <c r="K45">
        <v>0</v>
      </c>
      <c r="L45">
        <v>0</v>
      </c>
      <c r="AC45">
        <f>SUM(F45,H45,J45,L45,N45,P45,R45,T45,V45,X45,Z45,AB45)</f>
        <v>4</v>
      </c>
    </row>
    <row r="46">
      <c r="A46" t="str">
        <v>50061</v>
      </c>
      <c r="B46" t="str">
        <v>Drug susceptibility by MIC#2</v>
      </c>
      <c r="D46">
        <v>150</v>
      </c>
      <c r="E46">
        <v>617</v>
      </c>
      <c r="F46">
        <v>0</v>
      </c>
      <c r="G46">
        <v>545</v>
      </c>
      <c r="H46">
        <v>2</v>
      </c>
      <c r="I46">
        <v>0</v>
      </c>
      <c r="J46">
        <v>0</v>
      </c>
      <c r="K46">
        <v>0</v>
      </c>
      <c r="L46">
        <v>0</v>
      </c>
      <c r="AC46">
        <f>SUM(F46,H46,J46,L46,N46,P46,R46,T46,V46,X46,Z46,AB46)</f>
        <v>2</v>
      </c>
    </row>
    <row r="47">
      <c r="A47" t="str">
        <v>50062</v>
      </c>
      <c r="B47" t="str">
        <v>Drug susceptibility by MIC(Anaerobe)</v>
      </c>
      <c r="D47">
        <v>150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AC47">
        <f>SUM(F47,H47,J47,L47,N47,P47,R47,T47,V47,X47,Z47,AB47)</f>
        <v>0</v>
      </c>
    </row>
    <row r="48">
      <c r="A48" t="str">
        <v>50063</v>
      </c>
      <c r="B48" t="str">
        <v>Drug susceptibility by MIC(Mycobacteria)</v>
      </c>
      <c r="D48">
        <v>150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AC48">
        <f>SUM(F48,H48,J48,L48,N48,P48,R48,T48,V48,X48,Z48,AB48)</f>
        <v>0</v>
      </c>
    </row>
    <row r="49">
      <c r="A49" t="str">
        <v>50064</v>
      </c>
      <c r="B49" t="str">
        <v>- Mycobacterium susceptibility</v>
      </c>
      <c r="D49">
        <v>150</v>
      </c>
      <c r="E49">
        <v>117</v>
      </c>
      <c r="F49">
        <v>0</v>
      </c>
      <c r="G49">
        <v>92</v>
      </c>
      <c r="H49">
        <v>0</v>
      </c>
      <c r="I49">
        <v>0</v>
      </c>
      <c r="J49">
        <v>0</v>
      </c>
      <c r="K49">
        <v>0</v>
      </c>
      <c r="L49">
        <v>0</v>
      </c>
      <c r="AC49">
        <f>SUM(F49,H49,J49,L49,N49,P49,R49,T49,V49,X49,Z49,AB49)</f>
        <v>0</v>
      </c>
    </row>
    <row r="50">
      <c r="A50" t="str">
        <v>50065</v>
      </c>
      <c r="B50" t="str">
        <v>Mycobacterium MIC</v>
      </c>
      <c r="D50">
        <v>150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AC50">
        <f>SUM(F50,H50,J50,L50,N50,P50,R50,T50,V50,X50,Z50,AB50)</f>
        <v>0</v>
      </c>
    </row>
    <row r="51">
      <c r="A51" t="str">
        <v>50066</v>
      </c>
      <c r="B51" t="str">
        <v>Yeast MIC</v>
      </c>
      <c r="D51">
        <v>150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AC51">
        <f>SUM(F51,H51,J51,L51,N51,P51,R51,T51,V51,X51,Z51,AB51)</f>
        <v>0</v>
      </c>
    </row>
    <row r="52">
      <c r="A52" t="str">
        <v>50067</v>
      </c>
      <c r="B52" t="str">
        <v>IGRA (Interferon Gamma releasing assay) โครงการวิจัย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AC52">
        <f>SUM(F52,H52,J52,L52,N52,P52,R52,T52,V52,X52,Z52,AB52)</f>
        <v>0</v>
      </c>
    </row>
    <row r="53">
      <c r="A53" t="str">
        <v>50068</v>
      </c>
      <c r="B53" t="str">
        <v>Bacterial identification (เอกชน)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AC53">
        <f>SUM(F53,H53,J53,L53,N53,P53,R53,T53,V53,X53,Z53,AB53)</f>
        <v>0</v>
      </c>
    </row>
    <row r="54">
      <c r="A54" t="str">
        <v>50069</v>
      </c>
      <c r="B54" t="str">
        <v>Bacterial identification and susceptibility testing (เอกชน)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AC54">
        <f>SUM(F54,H54,J54,L54,N54,P54,R54,T54,V54,X54,Z54,AB54)</f>
        <v>0</v>
      </c>
    </row>
    <row r="55">
      <c r="A55" t="str">
        <v>50070</v>
      </c>
      <c r="B55" t="str">
        <v>Bacterial identification (รัฐบาล)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AC55">
        <f>SUM(F55,H55,J55,L55,N55,P55,R55,T55,V55,X55,Z55,AB55)</f>
        <v>0</v>
      </c>
    </row>
    <row r="56">
      <c r="A56" t="str">
        <v>50071</v>
      </c>
      <c r="B56" t="str">
        <v>Bacterial identification and susceptibility testing (รัฐบาล)</v>
      </c>
      <c r="E56">
        <v>0</v>
      </c>
      <c r="F56">
        <v>0</v>
      </c>
      <c r="G56">
        <v>2</v>
      </c>
      <c r="H56">
        <v>1</v>
      </c>
      <c r="I56">
        <v>2</v>
      </c>
      <c r="J56">
        <v>3</v>
      </c>
      <c r="K56">
        <v>3</v>
      </c>
      <c r="L56">
        <v>3</v>
      </c>
      <c r="AC56">
        <f>SUM(F56,H56,J56,L56,N56,P56,R56,T56,V56,X56,Z56,AB56)</f>
        <v>7</v>
      </c>
    </row>
    <row r="57">
      <c r="A57" t="str">
        <v>50072</v>
      </c>
      <c r="B57" t="str">
        <v>Fungal identification (เอกชน)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AC57">
        <f>SUM(F57,H57,J57,L57,N57,P57,R57,T57,V57,X57,Z57,AB57)</f>
        <v>0</v>
      </c>
    </row>
    <row r="58">
      <c r="A58" t="str">
        <v>50073</v>
      </c>
      <c r="B58" t="str">
        <v>Fungal culture (เอกชน)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AC58">
        <f>SUM(F58,H58,J58,L58,N58,P58,R58,T58,V58,X58,Z58,AB58)</f>
        <v>0</v>
      </c>
    </row>
    <row r="59">
      <c r="A59" t="str">
        <v>50074</v>
      </c>
      <c r="B59" t="str">
        <v>Hemoculture ขวดที่3 Anaerobic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AC59">
        <f>SUM(F59,H59,J59,L59,N59,P59,R59,T59,V59,X59,Z59,AB59)</f>
        <v>0</v>
      </c>
    </row>
    <row r="60">
      <c r="A60" t="str">
        <v>50075</v>
      </c>
      <c r="B60" t="str">
        <v>Drug susceptibility by MIC#3</v>
      </c>
      <c r="D60">
        <v>150</v>
      </c>
      <c r="E60">
        <v>22</v>
      </c>
      <c r="F60">
        <v>0</v>
      </c>
      <c r="G60">
        <v>22</v>
      </c>
      <c r="H60">
        <v>0</v>
      </c>
      <c r="I60">
        <v>0</v>
      </c>
      <c r="J60">
        <v>0</v>
      </c>
      <c r="K60">
        <v>0</v>
      </c>
      <c r="L60">
        <v>0</v>
      </c>
      <c r="AC60">
        <f>SUM(F60,H60,J60,L60,N60,P60,R60,T60,V60,X60,Z60,AB60)</f>
        <v>0</v>
      </c>
    </row>
    <row r="61">
      <c r="A61" t="str">
        <v>50076</v>
      </c>
      <c r="B61" t="str">
        <v>โครงการวิจัยEnterovirus (อ.ฐานัดดา)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AC61">
        <f>SUM(F61,H61,J61,L61,N61,P61,R61,T61,V61,X61,Z61,AB61)</f>
        <v>0</v>
      </c>
    </row>
    <row r="62">
      <c r="A62" t="str">
        <v>50082</v>
      </c>
      <c r="B62" t="str">
        <v>Wright's stain for Histoplasma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AC62">
        <f>SUM(F62,H62,J62,L62,N62,P62,R62,T62,V62,X62,Z62,AB62)</f>
        <v>1</v>
      </c>
    </row>
    <row r="63">
      <c r="A63" t="str">
        <v>50083</v>
      </c>
      <c r="B63" t="str">
        <v>PCR for TB (INH+RIF)</v>
      </c>
      <c r="D63">
        <v>1500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AC63">
        <f>SUM(F63,H63,J63,L63,N63,P63,R63,T63,V63,X63,Z63,AB63)</f>
        <v>0</v>
      </c>
    </row>
    <row r="64">
      <c r="A64" t="str">
        <v>Total</v>
      </c>
      <c r="E64">
        <f>SUM(E3:E63)</f>
        <v>5891</v>
      </c>
      <c r="F64">
        <f>SUM(F3:F63)</f>
        <v>8161</v>
      </c>
      <c r="G64">
        <f>SUM(G3:G63)</f>
        <v>4971</v>
      </c>
      <c r="H64">
        <f>SUM(H3:H63)</f>
        <v>7274</v>
      </c>
      <c r="I64">
        <f>SUM(I3:I63)</f>
        <v>2629</v>
      </c>
      <c r="J64">
        <f>SUM(J3:J63)</f>
        <v>7831</v>
      </c>
      <c r="K64">
        <f>SUM(K3:K63)</f>
        <v>2548</v>
      </c>
      <c r="L64">
        <f>SUM(L3:L63)</f>
        <v>7511</v>
      </c>
      <c r="M64">
        <f>SUM(M3:M63)</f>
        <v>0</v>
      </c>
      <c r="N64">
        <f>SUM(N3:N63)</f>
        <v>0</v>
      </c>
      <c r="O64">
        <f>SUM(O3:O63)</f>
        <v>0</v>
      </c>
      <c r="P64">
        <f>SUM(P3:P63)</f>
        <v>0</v>
      </c>
      <c r="Q64">
        <f>SUM(Q3:Q63)</f>
        <v>0</v>
      </c>
      <c r="R64">
        <f>SUM(R3:R63)</f>
        <v>0</v>
      </c>
      <c r="S64">
        <f>SUM(S3:S63)</f>
        <v>0</v>
      </c>
      <c r="T64">
        <f>SUM(T3:T63)</f>
        <v>0</v>
      </c>
      <c r="U64">
        <f>SUM(U3:U63)</f>
        <v>0</v>
      </c>
      <c r="V64">
        <f>SUM(V3:V63)</f>
        <v>0</v>
      </c>
      <c r="W64">
        <f>SUM(W3:W63)</f>
        <v>0</v>
      </c>
      <c r="X64">
        <f>SUM(X3:X63)</f>
        <v>0</v>
      </c>
      <c r="Y64">
        <f>SUM(Y3:Y63)</f>
        <v>0</v>
      </c>
      <c r="Z64">
        <f>SUM(Z3:Z63)</f>
        <v>0</v>
      </c>
      <c r="AA64">
        <f>SUM(AA3:AA63)</f>
        <v>0</v>
      </c>
      <c r="AB64">
        <f>SUM(AB3:AB63)</f>
        <v>0</v>
      </c>
      <c r="AC64">
        <f>SUM(AC3:AC63)</f>
        <v>30777</v>
      </c>
    </row>
    <row r="65">
      <c r="B65" t="str">
        <v>Mycobacterium profile (Liquid Culture+DST)</v>
      </c>
    </row>
    <row r="66">
      <c r="B66" t="str">
        <v>PCR for TB (MTB/MDR)</v>
      </c>
    </row>
    <row r="67">
      <c r="B67" t="str">
        <v>PCR for TB (Xpert MTB/RIF)</v>
      </c>
    </row>
    <row r="68">
      <c r="B68" t="str">
        <v>Fungus profile</v>
      </c>
    </row>
  </sheetData>
  <mergeCells count="18">
    <mergeCell ref="AC1:AC2"/>
    <mergeCell ref="K1:L1"/>
    <mergeCell ref="M1:N1"/>
    <mergeCell ref="O1:P1"/>
    <mergeCell ref="Q1:R1"/>
    <mergeCell ref="S1:T1"/>
    <mergeCell ref="U1:V1"/>
    <mergeCell ref="W1:X1"/>
    <mergeCell ref="G1:H1"/>
    <mergeCell ref="I1:J1"/>
    <mergeCell ref="A64:D64"/>
    <mergeCell ref="Y1:Z1"/>
    <mergeCell ref="AA1:AB1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numberStoredAsText="1" sqref="A1:AE100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982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A3" t="str">
        <v>70004</v>
      </c>
      <c r="B3" t="str">
        <v>CD4</v>
      </c>
      <c r="C3" t="str">
        <v>30509</v>
      </c>
      <c r="D3">
        <v>500</v>
      </c>
      <c r="E3">
        <v>860</v>
      </c>
      <c r="F3">
        <v>860</v>
      </c>
      <c r="G3">
        <v>658</v>
      </c>
      <c r="H3">
        <v>658</v>
      </c>
      <c r="I3">
        <v>719</v>
      </c>
      <c r="J3">
        <v>719</v>
      </c>
      <c r="K3">
        <v>688</v>
      </c>
      <c r="L3">
        <v>688</v>
      </c>
      <c r="M3">
        <v>641</v>
      </c>
      <c r="N3">
        <v>641</v>
      </c>
      <c r="O3">
        <v>634</v>
      </c>
      <c r="P3">
        <v>634</v>
      </c>
      <c r="R3">
        <v>537</v>
      </c>
      <c r="AC3">
        <f>SUM(F3,H3,J3,L3,N3,P3,R3,T3,V3,X3,Z3,AB3)</f>
        <v>4737</v>
      </c>
    </row>
    <row r="4">
      <c r="A4" t="str">
        <v>31</v>
      </c>
      <c r="B4" t="str">
        <v>Viral Load HIV-1 RNA</v>
      </c>
      <c r="C4" t="str">
        <v>36362</v>
      </c>
      <c r="D4">
        <v>1800</v>
      </c>
      <c r="E4">
        <v>802</v>
      </c>
      <c r="F4">
        <v>802</v>
      </c>
      <c r="G4">
        <v>558</v>
      </c>
      <c r="H4">
        <v>558</v>
      </c>
      <c r="I4">
        <v>704</v>
      </c>
      <c r="J4">
        <v>704</v>
      </c>
      <c r="K4">
        <v>552</v>
      </c>
      <c r="L4">
        <v>552</v>
      </c>
      <c r="M4">
        <v>618</v>
      </c>
      <c r="N4">
        <v>618</v>
      </c>
      <c r="O4">
        <v>619</v>
      </c>
      <c r="P4">
        <v>619</v>
      </c>
      <c r="R4">
        <v>385</v>
      </c>
      <c r="AC4">
        <f>SUM(F4,H4,J4,L4,N4,P4,R4,T4,V4,X4,Z4,AB4)</f>
        <v>4238</v>
      </c>
    </row>
    <row r="5">
      <c r="A5" t="str">
        <v>35</v>
      </c>
      <c r="B5" t="str">
        <v>HBV-DNA Viral load (quantitative)</v>
      </c>
      <c r="C5" t="str">
        <v>36320</v>
      </c>
      <c r="D5">
        <v>1800</v>
      </c>
      <c r="E5">
        <v>94</v>
      </c>
      <c r="F5">
        <v>94</v>
      </c>
      <c r="G5">
        <v>131</v>
      </c>
      <c r="H5">
        <v>131</v>
      </c>
      <c r="I5">
        <v>115</v>
      </c>
      <c r="J5">
        <v>115</v>
      </c>
      <c r="K5">
        <v>100</v>
      </c>
      <c r="L5">
        <v>100</v>
      </c>
      <c r="M5">
        <v>107</v>
      </c>
      <c r="N5">
        <v>107</v>
      </c>
      <c r="O5">
        <v>110</v>
      </c>
      <c r="P5">
        <v>110</v>
      </c>
      <c r="R5">
        <v>92</v>
      </c>
      <c r="AC5">
        <f>SUM(F5,H5,J5,L5,N5,P5,R5,T5,V5,X5,Z5,AB5)</f>
        <v>749</v>
      </c>
    </row>
    <row r="6">
      <c r="A6" t="str">
        <v>137</v>
      </c>
      <c r="B6" t="str">
        <v>HCV Viral load-Quantitative(PCR)</v>
      </c>
      <c r="C6" t="str">
        <v>36333</v>
      </c>
      <c r="D6">
        <v>2300</v>
      </c>
      <c r="E6">
        <v>66</v>
      </c>
      <c r="F6">
        <v>66</v>
      </c>
      <c r="G6">
        <v>47</v>
      </c>
      <c r="H6">
        <v>47</v>
      </c>
      <c r="I6">
        <v>60</v>
      </c>
      <c r="J6">
        <v>60</v>
      </c>
      <c r="K6">
        <v>53</v>
      </c>
      <c r="L6">
        <v>53</v>
      </c>
      <c r="M6">
        <v>50</v>
      </c>
      <c r="N6">
        <v>50</v>
      </c>
      <c r="O6">
        <v>37</v>
      </c>
      <c r="P6">
        <v>37</v>
      </c>
      <c r="R6">
        <v>42</v>
      </c>
      <c r="AC6">
        <f>SUM(F6,H6,J6,L6,N6,P6,R6,T6,V6,X6,Z6,AB6)</f>
        <v>355</v>
      </c>
    </row>
    <row r="7">
      <c r="A7" t="str">
        <v>34</v>
      </c>
      <c r="B7" t="str">
        <v>Flow Cytometry for acute leukemia</v>
      </c>
      <c r="C7" t="str">
        <v>30501</v>
      </c>
      <c r="D7">
        <v>2300</v>
      </c>
      <c r="E7">
        <v>3</v>
      </c>
      <c r="F7">
        <v>3</v>
      </c>
      <c r="G7">
        <v>2</v>
      </c>
      <c r="H7">
        <v>2</v>
      </c>
      <c r="I7">
        <v>1</v>
      </c>
      <c r="J7">
        <v>1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R7">
        <v>4</v>
      </c>
      <c r="AC7">
        <f>SUM(F7,H7,J7,L7,N7,P7,R7,T7,V7,X7,Z7,AB7)</f>
        <v>19</v>
      </c>
    </row>
    <row r="8">
      <c r="A8" t="str">
        <v>33</v>
      </c>
      <c r="B8" t="str">
        <v>Flow Cytometry for CD55/59</v>
      </c>
      <c r="C8" t="str">
        <v>30503</v>
      </c>
      <c r="D8">
        <v>600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R8">
        <v>1</v>
      </c>
      <c r="AC8">
        <f>SUM(F8,H8,J8,L8,N8,P8,R8,T8,V8,X8,Z8,AB8)</f>
        <v>5</v>
      </c>
    </row>
    <row r="9">
      <c r="A9" t="str">
        <v>117</v>
      </c>
      <c r="B9" t="str">
        <v>Immunophenotype for Immune def</v>
      </c>
      <c r="D9">
        <v>3000</v>
      </c>
      <c r="E9">
        <v>2</v>
      </c>
      <c r="F9">
        <v>2</v>
      </c>
      <c r="G9">
        <v>4</v>
      </c>
      <c r="H9">
        <v>4</v>
      </c>
      <c r="I9">
        <v>2</v>
      </c>
      <c r="J9">
        <v>2</v>
      </c>
      <c r="K9">
        <v>1</v>
      </c>
      <c r="L9">
        <v>1</v>
      </c>
      <c r="M9">
        <v>0</v>
      </c>
      <c r="N9">
        <v>0</v>
      </c>
      <c r="O9">
        <v>2</v>
      </c>
      <c r="P9">
        <v>2</v>
      </c>
      <c r="R9">
        <v>2</v>
      </c>
      <c r="AC9">
        <f>SUM(F9,H9,J9,L9,N9,P9,R9,T9,V9,X9,Z9,AB9)</f>
        <v>13</v>
      </c>
    </row>
    <row r="10">
      <c r="A10" t="str">
        <v>154</v>
      </c>
      <c r="B10" t="str">
        <v>HPV-DNA Genotype (Quanlitative)</v>
      </c>
      <c r="D10">
        <v>1600</v>
      </c>
      <c r="E10">
        <v>210</v>
      </c>
      <c r="F10">
        <v>210</v>
      </c>
      <c r="G10">
        <v>172</v>
      </c>
      <c r="H10">
        <v>172</v>
      </c>
      <c r="I10">
        <v>328</v>
      </c>
      <c r="J10">
        <v>328</v>
      </c>
      <c r="K10">
        <v>254</v>
      </c>
      <c r="L10">
        <v>254</v>
      </c>
      <c r="M10">
        <v>447</v>
      </c>
      <c r="N10">
        <v>447</v>
      </c>
      <c r="O10">
        <v>286</v>
      </c>
      <c r="P10">
        <v>286</v>
      </c>
      <c r="R10">
        <v>137</v>
      </c>
      <c r="AC10">
        <f>SUM(F10,H10,J10,L10,N10,P10,R10,T10,V10,X10,Z10,AB10)</f>
        <v>1834</v>
      </c>
    </row>
    <row r="11">
      <c r="A11" t="str">
        <v>186</v>
      </c>
      <c r="B11" t="str">
        <v>CD34 Stem cell enumeration(Peripheral blood)</v>
      </c>
      <c r="C11" t="str">
        <v>30504</v>
      </c>
      <c r="D11">
        <v>2000</v>
      </c>
      <c r="E11">
        <v>0</v>
      </c>
      <c r="F11">
        <v>0</v>
      </c>
      <c r="G11">
        <v>6</v>
      </c>
      <c r="H11">
        <v>6</v>
      </c>
      <c r="I11">
        <v>7</v>
      </c>
      <c r="J11">
        <v>7</v>
      </c>
      <c r="K11">
        <v>8</v>
      </c>
      <c r="L11">
        <v>8</v>
      </c>
      <c r="M11">
        <v>4</v>
      </c>
      <c r="N11">
        <v>4</v>
      </c>
      <c r="O11">
        <v>4</v>
      </c>
      <c r="P11">
        <v>4</v>
      </c>
      <c r="R11">
        <v>3</v>
      </c>
      <c r="AC11">
        <f>SUM(F11,H11,J11,L11,N11,P11,R11,T11,V11,X11,Z11,AB11)</f>
        <v>32</v>
      </c>
    </row>
    <row r="12">
      <c r="A12" t="str">
        <v>70061</v>
      </c>
      <c r="B12" t="str">
        <v>Xpert Xpress SARS-CoV-2</v>
      </c>
      <c r="C12" t="str">
        <v>36599</v>
      </c>
      <c r="D12">
        <v>900</v>
      </c>
      <c r="E12">
        <v>2</v>
      </c>
      <c r="F12">
        <v>2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R12">
        <v>0</v>
      </c>
      <c r="AC12">
        <f>SUM(F12,H12,J12,L12,N12,P12,R12,T12,V12,X12,Z12,AB12)</f>
        <v>4</v>
      </c>
    </row>
    <row r="13">
      <c r="A13" t="str">
        <v>70091</v>
      </c>
      <c r="B13" t="str">
        <v>HLA-B*57:01 (Abacavir)</v>
      </c>
      <c r="C13" t="str">
        <v>30633</v>
      </c>
      <c r="D13">
        <v>1000</v>
      </c>
      <c r="E13">
        <v>6</v>
      </c>
      <c r="F13">
        <v>6</v>
      </c>
      <c r="G13">
        <v>0</v>
      </c>
      <c r="H13">
        <v>0</v>
      </c>
      <c r="I13">
        <v>3</v>
      </c>
      <c r="J13">
        <v>3</v>
      </c>
      <c r="K13">
        <v>6</v>
      </c>
      <c r="L13">
        <v>6</v>
      </c>
      <c r="M13">
        <v>3</v>
      </c>
      <c r="N13">
        <v>3</v>
      </c>
      <c r="O13">
        <v>3</v>
      </c>
      <c r="P13">
        <v>3</v>
      </c>
      <c r="R13">
        <v>1</v>
      </c>
      <c r="AC13">
        <f>SUM(F13,H13,J13,L13,N13,P13,R13,T13,V13,X13,Z13,AB13)</f>
        <v>22</v>
      </c>
    </row>
    <row r="14">
      <c r="A14" t="str">
        <v>70092</v>
      </c>
      <c r="B14" t="str">
        <v>HLA-B*58:01 (Allopurinol)</v>
      </c>
      <c r="C14" t="str">
        <v>30622</v>
      </c>
      <c r="D14">
        <v>1000</v>
      </c>
      <c r="E14">
        <v>43</v>
      </c>
      <c r="F14">
        <v>43</v>
      </c>
      <c r="G14">
        <v>28</v>
      </c>
      <c r="H14">
        <v>28</v>
      </c>
      <c r="I14">
        <v>37</v>
      </c>
      <c r="J14">
        <v>37</v>
      </c>
      <c r="K14">
        <v>47</v>
      </c>
      <c r="L14">
        <v>47</v>
      </c>
      <c r="M14">
        <v>38</v>
      </c>
      <c r="N14">
        <v>38</v>
      </c>
      <c r="O14">
        <v>55</v>
      </c>
      <c r="P14">
        <v>55</v>
      </c>
      <c r="R14">
        <v>55</v>
      </c>
      <c r="AC14">
        <f>SUM(F14,H14,J14,L14,N14,P14,R14,T14,V14,X14,Z14,AB14)</f>
        <v>303</v>
      </c>
    </row>
    <row r="15">
      <c r="A15" t="str">
        <v>70093</v>
      </c>
      <c r="B15" t="str">
        <v>HLA-B*15:02 (Carbamazepine/Oxcarbazepine)</v>
      </c>
      <c r="C15" t="str">
        <v>30621</v>
      </c>
      <c r="D15">
        <v>1000</v>
      </c>
      <c r="E15">
        <v>6</v>
      </c>
      <c r="F15">
        <v>6</v>
      </c>
      <c r="G15">
        <v>1</v>
      </c>
      <c r="H15">
        <v>1</v>
      </c>
      <c r="I15">
        <v>7</v>
      </c>
      <c r="J15">
        <v>7</v>
      </c>
      <c r="K15">
        <v>2</v>
      </c>
      <c r="L15">
        <v>2</v>
      </c>
      <c r="M15">
        <v>4</v>
      </c>
      <c r="N15">
        <v>4</v>
      </c>
      <c r="O15">
        <v>6</v>
      </c>
      <c r="P15">
        <v>6</v>
      </c>
      <c r="R15">
        <v>4</v>
      </c>
      <c r="AC15">
        <f>SUM(F15,H15,J15,L15,N15,P15,R15,T15,V15,X15,Z15,AB15)</f>
        <v>30</v>
      </c>
    </row>
    <row r="16">
      <c r="A16" t="str">
        <v>Total</v>
      </c>
      <c r="E16">
        <f>SUM(E3:E15)</f>
        <v>2094</v>
      </c>
      <c r="F16">
        <f>SUM(F3:F15)</f>
        <v>2094</v>
      </c>
      <c r="G16">
        <f>SUM(G3:G15)</f>
        <v>1609</v>
      </c>
      <c r="H16">
        <f>SUM(H3:H15)</f>
        <v>1609</v>
      </c>
      <c r="I16">
        <f>SUM(I3:I15)</f>
        <v>1984</v>
      </c>
      <c r="J16">
        <f>SUM(J3:J15)</f>
        <v>1984</v>
      </c>
      <c r="K16">
        <f>SUM(K3:K15)</f>
        <v>1715</v>
      </c>
      <c r="L16">
        <f>SUM(L3:L15)</f>
        <v>1715</v>
      </c>
      <c r="M16">
        <f>SUM(M3:M15)</f>
        <v>1916</v>
      </c>
      <c r="N16">
        <f>SUM(N3:N15)</f>
        <v>1916</v>
      </c>
      <c r="O16">
        <f>SUM(O3:O15)</f>
        <v>1760</v>
      </c>
      <c r="P16">
        <f>SUM(P3:P15)</f>
        <v>1760</v>
      </c>
      <c r="Q16">
        <f>SUM(Q3:Q15)</f>
        <v>0</v>
      </c>
      <c r="R16">
        <f>SUM(R3:R15)</f>
        <v>1263</v>
      </c>
      <c r="S16">
        <f>SUM(S3:S15)</f>
        <v>0</v>
      </c>
      <c r="T16">
        <f>SUM(T3:T15)</f>
        <v>0</v>
      </c>
      <c r="U16">
        <f>SUM(U3:U15)</f>
        <v>0</v>
      </c>
      <c r="V16">
        <f>SUM(V3:V15)</f>
        <v>0</v>
      </c>
      <c r="W16">
        <f>SUM(W3:W15)</f>
        <v>0</v>
      </c>
      <c r="X16">
        <f>SUM(X3:X15)</f>
        <v>0</v>
      </c>
      <c r="Y16">
        <f>SUM(Y3:Y15)</f>
        <v>0</v>
      </c>
      <c r="Z16">
        <f>SUM(Z3:Z15)</f>
        <v>0</v>
      </c>
      <c r="AA16">
        <f>SUM(AA3:AA15)</f>
        <v>0</v>
      </c>
      <c r="AB16">
        <f>SUM(AB3:AB15)</f>
        <v>0</v>
      </c>
      <c r="AC16">
        <f>SUM(F16,H16,J16,L16,N16,P16,R16,T16,V16,X16,Z16,AB16)</f>
        <v>12341</v>
      </c>
    </row>
    <row r="17">
      <c r="A17" t="str">
        <v>Total (HN)</v>
      </c>
      <c r="AC17">
        <f>SUM(E17:AB17)</f>
        <v>0</v>
      </c>
    </row>
  </sheetData>
  <mergeCells count="31">
    <mergeCell ref="U17:V17"/>
    <mergeCell ref="W17:X17"/>
    <mergeCell ref="Y17:Z17"/>
    <mergeCell ref="AA17:AB17"/>
    <mergeCell ref="A16:D16"/>
    <mergeCell ref="A17:D17"/>
    <mergeCell ref="E17:F17"/>
    <mergeCell ref="G17:H17"/>
    <mergeCell ref="I17:J17"/>
    <mergeCell ref="K17:L17"/>
    <mergeCell ref="M17:N17"/>
    <mergeCell ref="G1:H1"/>
    <mergeCell ref="I1:J1"/>
    <mergeCell ref="O17:P17"/>
    <mergeCell ref="Q17:R17"/>
    <mergeCell ref="S17:T17"/>
    <mergeCell ref="A1:A2"/>
    <mergeCell ref="B1:B2"/>
    <mergeCell ref="C1:C2"/>
    <mergeCell ref="D1:D2"/>
    <mergeCell ref="E1:F1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ignoredErrors>
    <ignoredError numberStoredAsText="1" sqref="A1:AE9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06"/>
  <sheetViews>
    <sheetView workbookViewId="0" rightToLeft="0"/>
  </sheetViews>
  <sheetData>
    <row r="1">
      <c r="A1" t="str">
        <v xml:space="preserve"> 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B3" t="str">
        <v>Crossmatch</v>
      </c>
      <c r="E3">
        <v>4180</v>
      </c>
      <c r="F3">
        <v>5135</v>
      </c>
      <c r="G3">
        <v>4145</v>
      </c>
      <c r="H3">
        <v>5520</v>
      </c>
      <c r="I3">
        <v>4585</v>
      </c>
      <c r="J3">
        <v>5920</v>
      </c>
      <c r="K3">
        <v>4328</v>
      </c>
      <c r="L3">
        <v>5695</v>
      </c>
      <c r="M3">
        <v>3985</v>
      </c>
      <c r="N3">
        <v>4731</v>
      </c>
      <c r="O3">
        <v>4456</v>
      </c>
      <c r="P3">
        <v>5654</v>
      </c>
      <c r="Q3">
        <v>4210</v>
      </c>
      <c r="R3">
        <v>5151</v>
      </c>
      <c r="AC3">
        <f>SUM(F3,H3,J3,L3,N3,P3,R3,T3,V3,X3,Z3,AB3)</f>
        <v>37806</v>
      </c>
    </row>
    <row r="4">
      <c r="B4" t="str">
        <v>Donor+Blood Component</v>
      </c>
      <c r="E4">
        <v>3484</v>
      </c>
      <c r="F4">
        <v>5692</v>
      </c>
      <c r="G4">
        <v>6101</v>
      </c>
      <c r="H4">
        <v>7828</v>
      </c>
      <c r="I4">
        <v>6325</v>
      </c>
      <c r="J4">
        <v>8032</v>
      </c>
      <c r="K4">
        <v>5985</v>
      </c>
      <c r="L4">
        <v>7352</v>
      </c>
      <c r="M4">
        <v>4958</v>
      </c>
      <c r="N4">
        <v>6224</v>
      </c>
      <c r="O4">
        <v>6845</v>
      </c>
      <c r="P4">
        <v>8788</v>
      </c>
      <c r="Q4">
        <v>4875</v>
      </c>
      <c r="R4">
        <v>6180</v>
      </c>
      <c r="AC4">
        <f>SUM(F4,H4,J4,L4,N4,P4,R4,T4,V4,X4,Z4,AB4)</f>
        <v>50096</v>
      </c>
    </row>
    <row r="5">
      <c r="B5" t="str">
        <v>Stem Cell(Collection+Reinfuse)</v>
      </c>
      <c r="E5">
        <v>0</v>
      </c>
      <c r="F5">
        <v>0</v>
      </c>
      <c r="G5">
        <v>6</v>
      </c>
      <c r="H5">
        <v>6</v>
      </c>
      <c r="I5">
        <v>11</v>
      </c>
      <c r="J5">
        <v>11</v>
      </c>
      <c r="K5">
        <v>2</v>
      </c>
      <c r="L5">
        <v>2</v>
      </c>
      <c r="M5">
        <v>2</v>
      </c>
      <c r="N5">
        <v>2</v>
      </c>
      <c r="O5">
        <v>3</v>
      </c>
      <c r="P5">
        <v>3</v>
      </c>
      <c r="Q5">
        <v>2</v>
      </c>
      <c r="R5">
        <v>2</v>
      </c>
      <c r="AC5">
        <f>SUM(F5,H5,J5,L5,N5,P5,R5,T5,V5,X5,Z5,AB5)</f>
        <v>26</v>
      </c>
    </row>
    <row r="6">
      <c r="B6" t="str">
        <v>ABO Grouping(Gel method)</v>
      </c>
      <c r="E6">
        <v>220</v>
      </c>
      <c r="F6">
        <v>327</v>
      </c>
      <c r="G6">
        <v>258</v>
      </c>
      <c r="H6">
        <v>392</v>
      </c>
      <c r="I6">
        <v>232</v>
      </c>
      <c r="J6">
        <v>371</v>
      </c>
      <c r="K6">
        <v>214</v>
      </c>
      <c r="L6">
        <v>395</v>
      </c>
      <c r="M6">
        <v>211</v>
      </c>
      <c r="N6">
        <v>382</v>
      </c>
      <c r="O6">
        <v>220</v>
      </c>
      <c r="P6">
        <v>367</v>
      </c>
      <c r="Q6">
        <v>210</v>
      </c>
      <c r="R6">
        <v>341</v>
      </c>
      <c r="AC6">
        <f>SUM(F6,H6,J6,L6,N6,P6,R6,T6,V6,X6,Z6,AB6)</f>
        <v>2575</v>
      </c>
    </row>
    <row r="7">
      <c r="B7" t="str">
        <v>ABO cell grouping-Slide method</v>
      </c>
      <c r="E7">
        <v>459</v>
      </c>
      <c r="F7">
        <v>657</v>
      </c>
      <c r="G7">
        <v>675</v>
      </c>
      <c r="H7">
        <v>802</v>
      </c>
      <c r="I7">
        <v>662</v>
      </c>
      <c r="J7">
        <v>815</v>
      </c>
      <c r="K7">
        <v>652</v>
      </c>
      <c r="L7">
        <v>813</v>
      </c>
      <c r="M7">
        <v>544</v>
      </c>
      <c r="N7">
        <v>681</v>
      </c>
      <c r="O7">
        <v>741</v>
      </c>
      <c r="P7">
        <v>827</v>
      </c>
      <c r="Q7">
        <v>684</v>
      </c>
      <c r="R7">
        <v>788</v>
      </c>
      <c r="AC7">
        <f>SUM(F7,H7,J7,L7,N7,P7,R7,T7,V7,X7,Z7,AB7)</f>
        <v>5383</v>
      </c>
    </row>
    <row r="8">
      <c r="B8" t="str">
        <v>Antibody identification (Gel method)</v>
      </c>
      <c r="E8">
        <v>20</v>
      </c>
      <c r="F8">
        <v>22</v>
      </c>
      <c r="G8">
        <v>25</v>
      </c>
      <c r="H8">
        <v>28</v>
      </c>
      <c r="I8">
        <v>24</v>
      </c>
      <c r="J8">
        <v>28</v>
      </c>
      <c r="K8">
        <v>30</v>
      </c>
      <c r="L8">
        <v>35</v>
      </c>
      <c r="M8">
        <v>24</v>
      </c>
      <c r="N8">
        <v>28</v>
      </c>
      <c r="O8">
        <v>31</v>
      </c>
      <c r="P8">
        <v>36</v>
      </c>
      <c r="Q8">
        <v>24</v>
      </c>
      <c r="R8">
        <v>28</v>
      </c>
    </row>
    <row r="9">
      <c r="B9" t="str">
        <v>DAT(Gel method)</v>
      </c>
      <c r="E9">
        <v>178</v>
      </c>
      <c r="F9">
        <v>254</v>
      </c>
      <c r="G9">
        <v>245</v>
      </c>
      <c r="H9">
        <v>290</v>
      </c>
      <c r="I9">
        <v>221</v>
      </c>
      <c r="J9">
        <v>247</v>
      </c>
      <c r="K9">
        <v>245</v>
      </c>
      <c r="L9">
        <v>273</v>
      </c>
      <c r="M9">
        <v>220</v>
      </c>
      <c r="N9">
        <v>272</v>
      </c>
      <c r="O9">
        <v>284</v>
      </c>
      <c r="P9">
        <v>310</v>
      </c>
      <c r="Q9">
        <v>221</v>
      </c>
      <c r="R9">
        <v>255</v>
      </c>
      <c r="AC9">
        <f>SUM(F9,H9,J9,L9,N9,P9,R9,T9,V9,X9,Z9,AB9)</f>
        <v>1901</v>
      </c>
    </row>
    <row r="10">
      <c r="B10" t="str">
        <v>IAT(Gel method)</v>
      </c>
      <c r="E10">
        <v>53</v>
      </c>
      <c r="F10">
        <v>64</v>
      </c>
      <c r="G10">
        <v>45</v>
      </c>
      <c r="H10">
        <v>75</v>
      </c>
      <c r="I10">
        <v>56</v>
      </c>
      <c r="J10">
        <v>72</v>
      </c>
      <c r="K10">
        <v>59</v>
      </c>
      <c r="L10">
        <v>84</v>
      </c>
      <c r="M10">
        <v>45</v>
      </c>
      <c r="N10">
        <v>81</v>
      </c>
      <c r="O10">
        <v>42</v>
      </c>
      <c r="P10">
        <v>82</v>
      </c>
      <c r="Q10">
        <v>62</v>
      </c>
      <c r="R10">
        <v>82</v>
      </c>
      <c r="AC10">
        <f>SUM(F10,H10,J10,L10,N10,P10,R10,T10,V10,X10,Z10,AB10)</f>
        <v>540</v>
      </c>
    </row>
    <row r="11">
      <c r="B11" t="str">
        <v>Rh(D) Typing(Gel method)</v>
      </c>
      <c r="E11">
        <v>91</v>
      </c>
      <c r="F11">
        <v>118</v>
      </c>
      <c r="G11">
        <v>210</v>
      </c>
      <c r="H11">
        <v>311</v>
      </c>
      <c r="I11">
        <v>212</v>
      </c>
      <c r="J11">
        <v>257</v>
      </c>
      <c r="K11">
        <v>232</v>
      </c>
      <c r="L11">
        <v>309</v>
      </c>
      <c r="M11">
        <v>245</v>
      </c>
      <c r="N11">
        <v>307</v>
      </c>
      <c r="O11">
        <v>244</v>
      </c>
      <c r="P11">
        <v>322</v>
      </c>
      <c r="Q11">
        <v>224</v>
      </c>
      <c r="R11">
        <v>267</v>
      </c>
      <c r="AC11">
        <f>SUM(F11,H11,J11,L11,N11,P11,R11,T11,V11,X11,Z11,AB11)</f>
        <v>1891</v>
      </c>
    </row>
    <row r="12">
      <c r="B12" t="str">
        <v>ฉายแสงเลือด</v>
      </c>
      <c r="E12">
        <v>51</v>
      </c>
      <c r="F12">
        <v>76</v>
      </c>
      <c r="G12">
        <v>64</v>
      </c>
      <c r="H12">
        <v>84</v>
      </c>
      <c r="I12">
        <v>62</v>
      </c>
      <c r="J12">
        <v>85</v>
      </c>
      <c r="K12">
        <v>48</v>
      </c>
      <c r="L12">
        <v>62</v>
      </c>
      <c r="M12">
        <v>54</v>
      </c>
      <c r="N12">
        <v>62</v>
      </c>
      <c r="O12">
        <v>85</v>
      </c>
      <c r="P12">
        <v>100</v>
      </c>
      <c r="Q12">
        <v>121</v>
      </c>
      <c r="R12">
        <v>140</v>
      </c>
    </row>
    <row r="13">
      <c r="B13" t="str">
        <v>Leukapheresis</v>
      </c>
      <c r="E13">
        <v>3</v>
      </c>
      <c r="F13">
        <v>3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2</v>
      </c>
      <c r="Q13">
        <v>2</v>
      </c>
      <c r="R13">
        <v>7</v>
      </c>
    </row>
    <row r="14">
      <c r="B14" t="str">
        <v>แลปนอกส่งตรวจกาชาด</v>
      </c>
      <c r="E14">
        <v>9</v>
      </c>
      <c r="F14">
        <v>9</v>
      </c>
      <c r="G14">
        <v>6</v>
      </c>
      <c r="H14">
        <v>6</v>
      </c>
      <c r="I14">
        <v>34</v>
      </c>
      <c r="J14">
        <v>37</v>
      </c>
      <c r="K14">
        <v>16</v>
      </c>
      <c r="L14">
        <v>16</v>
      </c>
      <c r="M14">
        <v>12</v>
      </c>
      <c r="N14">
        <v>12</v>
      </c>
      <c r="O14">
        <v>24</v>
      </c>
      <c r="P14">
        <v>24</v>
      </c>
      <c r="Q14">
        <v>32</v>
      </c>
      <c r="R14">
        <v>32</v>
      </c>
      <c r="AC14">
        <f>SUM(F14,H14,J14,L14,N14,P14,R14,T14,V14,X14,Z14,AB14)</f>
        <v>136</v>
      </c>
    </row>
    <row r="15">
      <c r="B15" t="str">
        <v>Grand Total</v>
      </c>
      <c r="E15">
        <f>SUM(E3:E14)</f>
        <v>8748</v>
      </c>
      <c r="F15">
        <f>SUM(F3:F14)</f>
        <v>12357</v>
      </c>
      <c r="G15">
        <f>SUM(G3:G14)</f>
        <v>11781</v>
      </c>
      <c r="H15">
        <f>SUM(H3:H14)</f>
        <v>15343</v>
      </c>
      <c r="I15">
        <f>SUM(I3:I14)</f>
        <v>12424</v>
      </c>
      <c r="J15">
        <f>SUM(J3:J14)</f>
        <v>15875</v>
      </c>
      <c r="K15">
        <f>SUM(K3:K14)</f>
        <v>11811</v>
      </c>
      <c r="L15">
        <f>SUM(L3:L14)</f>
        <v>15036</v>
      </c>
      <c r="M15">
        <f>SUM(M3:M14)</f>
        <v>10300</v>
      </c>
      <c r="N15">
        <f>SUM(N3:N14)</f>
        <v>12782</v>
      </c>
      <c r="O15">
        <f>SUM(O3:O14)</f>
        <v>12976</v>
      </c>
      <c r="P15">
        <f>SUM(P3:P14)</f>
        <v>16515</v>
      </c>
      <c r="Q15">
        <f>SUM(Q3:Q14)</f>
        <v>10667</v>
      </c>
      <c r="R15">
        <f>SUM(R3:R14)</f>
        <v>13273</v>
      </c>
      <c r="S15">
        <f>SUM(S3:S14)</f>
        <v>0</v>
      </c>
      <c r="T15">
        <f>SUM(T3:T14)</f>
        <v>0</v>
      </c>
      <c r="U15">
        <f>SUM(U3:U14)</f>
        <v>0</v>
      </c>
      <c r="V15">
        <f>SUM(V3:V14)</f>
        <v>0</v>
      </c>
      <c r="W15">
        <f>SUM(W3:W14)</f>
        <v>0</v>
      </c>
      <c r="X15">
        <f>SUM(X3:X14)</f>
        <v>0</v>
      </c>
      <c r="Y15">
        <f>SUM(Y3:Y14)</f>
        <v>0</v>
      </c>
      <c r="Z15">
        <f>SUM(Z3:Z14)</f>
        <v>0</v>
      </c>
      <c r="AA15">
        <f>SUM(AA3:AA14)</f>
        <v>0</v>
      </c>
      <c r="AB15">
        <f>SUM(AB3:AB14)</f>
        <v>0</v>
      </c>
      <c r="AC15">
        <f>SUM(F15,H15,J15,L15,N15,P15,R15,T15,V15,X15,Z15,AB15)</f>
        <v>101181</v>
      </c>
    </row>
    <row r="16">
      <c r="B16" t="str">
        <v>HLA antibody (PRA)</v>
      </c>
      <c r="AC16">
        <f>SUM(F16,H16,J16,L16,N16,P16,R16,T16,V16,X16,Z16,AB16)</f>
        <v>0</v>
      </c>
    </row>
    <row r="17">
      <c r="AC17">
        <f>SUM(F17,H17,J17,L17,N17,P17,R17,T17,V17,X17,Z17,AB17)</f>
        <v>0</v>
      </c>
    </row>
    <row r="18">
      <c r="AC18">
        <f>SUM(F18,H18,J18,L18,N18,P18,R18,T18,V18,X18,Z18,AB18)</f>
        <v>0</v>
      </c>
    </row>
    <row r="19">
      <c r="AC19">
        <f>SUM(F19,H19,J19,L19,N19,P19,R19,T19,V19,X19,Z19,AB19)</f>
        <v>0</v>
      </c>
    </row>
    <row r="20">
      <c r="AC20">
        <f>SUM(F20,H20,J20,L20,N20,P20,R20,T20,V20,X20,Z20,AB20)</f>
        <v>0</v>
      </c>
    </row>
    <row r="21">
      <c r="AC21">
        <f>SUM(F21,H21,J21,L21,N21,P21,R21,T21,V21,X21,Z21,AB21)</f>
        <v>0</v>
      </c>
    </row>
    <row r="22">
      <c r="AC22">
        <f>SUM(F22,H22,J22,L22,N22,P22,R22,T22,V22,X22,Z22,AB22)</f>
        <v>0</v>
      </c>
    </row>
    <row r="23">
      <c r="AC23">
        <f>SUM(F23,H23,J23,L23,N23,P23,R23,T23,V23,X23,Z23,AB23)</f>
        <v>0</v>
      </c>
    </row>
    <row r="24">
      <c r="AC24">
        <f>SUM(F24,H24,J24,L24,N24,P24,R24,T24,V24,X24,Z24,AB24)</f>
        <v>0</v>
      </c>
    </row>
    <row r="25">
      <c r="AC25">
        <f>SUM(F25,H25,J25,L25,N25,P25,R25,T25,V25,X25,Z25,AB25)</f>
        <v>0</v>
      </c>
    </row>
    <row r="26">
      <c r="AC26">
        <f>SUM(F26,H26,J26,L26,N26,P26,R26,T26,V26,X26,Z26,AB26)</f>
        <v>0</v>
      </c>
    </row>
    <row r="27">
      <c r="AC27">
        <f>SUM(F27,H27,J27,L27,N27,P27,R27,T27,V27,X27,Z27,AB27)</f>
        <v>0</v>
      </c>
    </row>
    <row r="28">
      <c r="AC28">
        <f>SUM(F28,H28,J28,L28,N28,P28,R28,T28,V28,X28,Z28,AB28)</f>
        <v>0</v>
      </c>
    </row>
    <row r="29">
      <c r="AC29">
        <f>SUM(F29,H29,J29,L29,N29,P29,R29,T29,V29,X29,Z29,AB29)</f>
        <v>0</v>
      </c>
    </row>
    <row r="30">
      <c r="AC30">
        <f>SUM(F30,H30,J30,L30,N30,P30,R30,T30,V30,X30,Z30,AB30)</f>
        <v>0</v>
      </c>
    </row>
    <row r="31">
      <c r="AC31">
        <f>SUM(F31,H31,J31,L31,N31,P31,R31,T31,V31,X31,Z31,AB31)</f>
        <v>0</v>
      </c>
    </row>
    <row r="32">
      <c r="AC32">
        <f>SUM(F32,H32,J32,L32,N32,P32,R32,T32,V32,X32,Z32,AB32)</f>
        <v>0</v>
      </c>
    </row>
    <row r="33">
      <c r="AC33">
        <f>SUM(F33,H33,J33,L33,N33,P33,R33,T33,V33,X33,Z33,AB33)</f>
        <v>0</v>
      </c>
    </row>
    <row r="34">
      <c r="AC34">
        <f>SUM(F34,H34,J34,L34,N34,P34,R34,T34,V34,X34,Z34,AB34)</f>
        <v>0</v>
      </c>
    </row>
    <row r="35">
      <c r="AC35">
        <f>SUM(F35,H35,J35,L35,N35,P35,R35,T35,V35,X35,Z35,AB35)</f>
        <v>0</v>
      </c>
    </row>
    <row r="36">
      <c r="AC36">
        <f>SUM(F36,H36,J36,L36,N36,P36,R36,T36,V36,X36,Z36,AB36)</f>
        <v>0</v>
      </c>
    </row>
    <row r="37">
      <c r="AC37">
        <f>SUM(F37,H37,J37,L37,N37,P37,R37,T37,V37,X37,Z37,AB37)</f>
        <v>0</v>
      </c>
    </row>
    <row r="38">
      <c r="AC38">
        <f>SUM(F38,H38,J38,L38,N38,P38,R38,T38,V38,X38,Z38,AB38)</f>
        <v>0</v>
      </c>
    </row>
    <row r="39">
      <c r="AC39">
        <f>SUM(F39,H39,J39,L39,N39,P39,R39,T39,V39,X39,Z39,AB39)</f>
        <v>0</v>
      </c>
    </row>
    <row r="40">
      <c r="AC40">
        <f>SUM(F40,H40,J40,L40,N40,P40,R40,T40,V40,X40,Z40,AB40)</f>
        <v>0</v>
      </c>
    </row>
    <row r="41">
      <c r="AC41">
        <f>SUM(F41,H41,J41,L41,N41,P41,R41,T41,V41,X41,Z41,AB41)</f>
        <v>0</v>
      </c>
    </row>
    <row r="42">
      <c r="AC42">
        <f>SUM(F42,H42,J42,L42,N42,P42,R42,T42,V42,X42,Z42,AB42)</f>
        <v>0</v>
      </c>
    </row>
  </sheetData>
  <mergeCells count="17">
    <mergeCell ref="G1:H1"/>
    <mergeCell ref="I1:J1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  <mergeCell ref="A1:A2"/>
    <mergeCell ref="B1:B2"/>
    <mergeCell ref="C1:C2"/>
    <mergeCell ref="D1:D2"/>
    <mergeCell ref="E1:F1"/>
  </mergeCells>
  <pageMargins left="0.7" right="0.7" top="0.75" bottom="0.75" header="0" footer="0"/>
  <ignoredErrors>
    <ignoredError numberStoredAsText="1" sqref="A1:AE100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E1008"/>
  <sheetViews>
    <sheetView workbookViewId="0" rightToLeft="0"/>
  </sheetViews>
  <sheetData>
    <row r="1"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A3" t="str">
        <v>92043</v>
      </c>
      <c r="B3" t="str">
        <v>VZV Ab., (Herpes zoster) IgG (serum)</v>
      </c>
      <c r="C3" t="str">
        <v>36420</v>
      </c>
      <c r="D3">
        <v>108</v>
      </c>
      <c r="F3">
        <v>188</v>
      </c>
      <c r="H3">
        <v>11</v>
      </c>
      <c r="J3">
        <v>16</v>
      </c>
      <c r="L3">
        <v>16</v>
      </c>
      <c r="N3">
        <v>24</v>
      </c>
      <c r="P3">
        <v>53</v>
      </c>
      <c r="AC3">
        <f>SUM(F3,H3,J3,L3,N3,P3,R3,T3,V3,X3,Z3,AB3)</f>
        <v>308</v>
      </c>
    </row>
    <row r="4">
      <c r="A4" t="str">
        <v>97133</v>
      </c>
      <c r="B4" t="str">
        <v>ยกเลิก ใช้รหัส 70092 แทน</v>
      </c>
      <c r="C4" t="str">
        <v>30622</v>
      </c>
      <c r="D4">
        <v>500</v>
      </c>
      <c r="F4">
        <v>0</v>
      </c>
      <c r="H4">
        <v>0</v>
      </c>
      <c r="J4">
        <v>0</v>
      </c>
      <c r="L4">
        <v>0</v>
      </c>
      <c r="N4">
        <v>0</v>
      </c>
      <c r="P4">
        <v>0</v>
      </c>
      <c r="AC4">
        <f>SUM(F4,H4,J4,L4,N4,P4,R4,T4,V4,X4,Z4,AB4)</f>
        <v>0</v>
      </c>
    </row>
    <row r="5">
      <c r="A5" t="str">
        <v>97091</v>
      </c>
      <c r="B5" t="str">
        <v>ยกเลิก ใช้รหัส 70091 แทน</v>
      </c>
      <c r="D5">
        <v>550</v>
      </c>
      <c r="F5">
        <v>0</v>
      </c>
      <c r="H5">
        <v>0</v>
      </c>
      <c r="J5">
        <v>0</v>
      </c>
      <c r="L5">
        <v>0</v>
      </c>
      <c r="N5">
        <v>0</v>
      </c>
      <c r="P5">
        <v>0</v>
      </c>
      <c r="AC5">
        <f>SUM(F5,H5,J5,L5,N5,P5,R5,T5,V5,X5,Z5,AB5)</f>
        <v>0</v>
      </c>
    </row>
    <row r="6">
      <c r="A6" t="str">
        <v>95062</v>
      </c>
      <c r="B6" t="str">
        <v>Vitamin D (total)</v>
      </c>
      <c r="D6">
        <v>400</v>
      </c>
      <c r="F6">
        <v>50</v>
      </c>
      <c r="H6">
        <v>49</v>
      </c>
      <c r="J6">
        <v>33</v>
      </c>
      <c r="L6">
        <v>51</v>
      </c>
      <c r="N6">
        <v>55</v>
      </c>
      <c r="P6">
        <v>58</v>
      </c>
      <c r="AC6">
        <f>SUM(F6,H6,J6,L6,N6,P6,R6,T6,V6,X6,Z6,AB6)</f>
        <v>296</v>
      </c>
    </row>
    <row r="7">
      <c r="A7" t="str">
        <v>93000</v>
      </c>
      <c r="B7" t="str">
        <v>Chromosome analysis for leukemia (Bone marrow)</v>
      </c>
      <c r="D7">
        <v>1694</v>
      </c>
      <c r="F7">
        <v>23</v>
      </c>
      <c r="H7">
        <v>23</v>
      </c>
      <c r="J7">
        <v>17</v>
      </c>
      <c r="L7">
        <v>25</v>
      </c>
      <c r="N7">
        <v>14</v>
      </c>
      <c r="P7">
        <v>17</v>
      </c>
      <c r="AC7">
        <f>SUM(F7,H7,J7,L7,N7,P7,R7,T7,V7,X7,Z7,AB7)</f>
        <v>119</v>
      </c>
    </row>
    <row r="8">
      <c r="A8" t="str">
        <v>95020</v>
      </c>
      <c r="B8" t="str">
        <v>Rubella Ab - IgG (serum)</v>
      </c>
      <c r="C8" t="str">
        <v>36660</v>
      </c>
      <c r="D8">
        <v>150</v>
      </c>
      <c r="F8">
        <v>191</v>
      </c>
      <c r="H8">
        <v>13</v>
      </c>
      <c r="J8">
        <v>34</v>
      </c>
      <c r="L8">
        <v>20</v>
      </c>
      <c r="N8">
        <v>18</v>
      </c>
      <c r="P8">
        <v>57</v>
      </c>
      <c r="AC8">
        <f>SUM(F8,H8,J8,L8,N8,P8,R8,T8,V8,X8,Z8,AB8)</f>
        <v>333</v>
      </c>
    </row>
    <row r="9">
      <c r="A9" t="str">
        <v>92344</v>
      </c>
      <c r="B9" t="str">
        <v>Anti B2 Glycoprotein 1, IgG (Quantitative)</v>
      </c>
      <c r="C9" t="str">
        <v>37233</v>
      </c>
      <c r="D9">
        <v>200</v>
      </c>
      <c r="F9">
        <v>20</v>
      </c>
      <c r="H9">
        <v>10</v>
      </c>
      <c r="J9">
        <v>22</v>
      </c>
      <c r="L9">
        <v>17</v>
      </c>
      <c r="N9">
        <v>21</v>
      </c>
      <c r="P9">
        <v>17</v>
      </c>
      <c r="AC9">
        <f>SUM(F9,H9,J9,L9,N9,P9,R9,T9,V9,X9,Z9,AB9)</f>
        <v>107</v>
      </c>
    </row>
    <row r="10">
      <c r="A10" t="str">
        <v>176</v>
      </c>
      <c r="B10" t="str">
        <v>Lupus Anticoagulant</v>
      </c>
      <c r="C10" t="str">
        <v>30234</v>
      </c>
      <c r="D10">
        <v>216</v>
      </c>
      <c r="F10">
        <v>0</v>
      </c>
      <c r="H10">
        <v>13</v>
      </c>
      <c r="J10">
        <v>16</v>
      </c>
      <c r="L10">
        <v>0</v>
      </c>
      <c r="N10">
        <v>22</v>
      </c>
      <c r="P10">
        <v>17</v>
      </c>
      <c r="AC10">
        <f>SUM(F10,H10,J10,L10,N10,P10,R10,T10,V10,X10,Z10,AB10)</f>
        <v>68</v>
      </c>
    </row>
    <row r="11">
      <c r="A11" t="str">
        <v>92037</v>
      </c>
      <c r="B11" t="str">
        <v>HAV Ab., Ig M (serum)</v>
      </c>
      <c r="C11" t="str">
        <v>36302</v>
      </c>
      <c r="D11">
        <v>193</v>
      </c>
      <c r="F11">
        <v>8</v>
      </c>
      <c r="H11">
        <v>16</v>
      </c>
      <c r="J11">
        <v>76</v>
      </c>
      <c r="L11">
        <v>31</v>
      </c>
      <c r="N11">
        <v>36</v>
      </c>
      <c r="P11">
        <v>52</v>
      </c>
      <c r="AC11">
        <f>SUM(F11,H11,J11,L11,N11,P11,R11,T11,V11,X11,Z11,AB11)</f>
        <v>219</v>
      </c>
    </row>
    <row r="12">
      <c r="A12" t="str">
        <v>92021</v>
      </c>
      <c r="B12" t="str">
        <v>Anti Cardiolipin (phospholipid) (Ig A,IgG,IgM)</v>
      </c>
      <c r="D12">
        <v>177</v>
      </c>
      <c r="F12">
        <v>17</v>
      </c>
      <c r="H12">
        <v>10</v>
      </c>
      <c r="J12">
        <v>14</v>
      </c>
      <c r="L12">
        <v>11</v>
      </c>
      <c r="N12">
        <v>11</v>
      </c>
      <c r="P12">
        <v>9</v>
      </c>
      <c r="AC12">
        <f>SUM(F12,H12,J12,L12,N12,P12,R12,T12,V12,X12,Z12,AB12)</f>
        <v>72</v>
      </c>
    </row>
    <row r="13">
      <c r="A13" t="str">
        <v>177</v>
      </c>
      <c r="B13" t="str">
        <v>Scrub &amp; Murine Typhus Ab (IgM , IgG)</v>
      </c>
      <c r="C13" t="str">
        <v>36740</v>
      </c>
      <c r="D13">
        <v>216</v>
      </c>
      <c r="F13">
        <v>0</v>
      </c>
      <c r="H13">
        <v>16</v>
      </c>
      <c r="J13">
        <v>6</v>
      </c>
      <c r="L13">
        <v>0</v>
      </c>
      <c r="N13">
        <v>13</v>
      </c>
      <c r="P13">
        <v>14</v>
      </c>
      <c r="AC13">
        <f>SUM(F13,H13,J13,L13,N13,P13,R13,T13,V13,X13,Z13,AB13)</f>
        <v>49</v>
      </c>
    </row>
    <row r="14">
      <c r="A14" t="str">
        <v>92204</v>
      </c>
      <c r="B14" t="str">
        <v>Measles Ab., IgG,(Qualitative)</v>
      </c>
      <c r="D14">
        <v>193</v>
      </c>
      <c r="F14">
        <v>177</v>
      </c>
      <c r="H14">
        <v>6</v>
      </c>
      <c r="J14">
        <v>9</v>
      </c>
      <c r="L14">
        <v>10</v>
      </c>
      <c r="N14">
        <v>9</v>
      </c>
      <c r="P14">
        <v>48</v>
      </c>
      <c r="AC14">
        <f>SUM(F14,H14,J14,L14,N14,P14,R14,T14,V14,X14,Z14,AB14)</f>
        <v>259</v>
      </c>
    </row>
    <row r="15">
      <c r="A15" t="str">
        <v>92216</v>
      </c>
      <c r="B15" t="str">
        <v>Mumps Ab,Ig G titer (serum)</v>
      </c>
      <c r="D15">
        <v>193</v>
      </c>
      <c r="F15">
        <v>178</v>
      </c>
      <c r="H15">
        <v>6</v>
      </c>
      <c r="J15">
        <v>9</v>
      </c>
      <c r="L15">
        <v>11</v>
      </c>
      <c r="N15">
        <v>9</v>
      </c>
      <c r="P15">
        <v>49</v>
      </c>
      <c r="AC15">
        <f>SUM(F15,H15,J15,L15,N15,P15,R15,T15,V15,X15,Z15,AB15)</f>
        <v>262</v>
      </c>
    </row>
    <row r="16">
      <c r="A16" t="str">
        <v>97268</v>
      </c>
      <c r="B16" t="str">
        <v>Anti B2 Glycoprotein 1, IgM (Quantitative)</v>
      </c>
      <c r="C16" t="str">
        <v>37234</v>
      </c>
      <c r="D16">
        <v>177</v>
      </c>
      <c r="F16">
        <v>20</v>
      </c>
      <c r="H16">
        <v>10</v>
      </c>
      <c r="J16">
        <v>22</v>
      </c>
      <c r="L16">
        <v>18</v>
      </c>
      <c r="N16">
        <v>21</v>
      </c>
      <c r="P16">
        <v>16</v>
      </c>
      <c r="AC16">
        <f>SUM(F16,H16,J16,L16,N16,P16,R16,T16,V16,X16,Z16,AB16)</f>
        <v>107</v>
      </c>
    </row>
    <row r="17">
      <c r="A17" t="str">
        <v>95040</v>
      </c>
      <c r="B17" t="str">
        <v>Specific IgE for 1 Allergen (Allergen : .......................)</v>
      </c>
      <c r="D17">
        <v>347</v>
      </c>
      <c r="F17">
        <v>13</v>
      </c>
      <c r="H17">
        <v>13</v>
      </c>
      <c r="J17">
        <v>9</v>
      </c>
      <c r="L17">
        <v>13</v>
      </c>
      <c r="N17">
        <v>16</v>
      </c>
      <c r="P17">
        <v>19</v>
      </c>
      <c r="AC17">
        <f>SUM(F17,H17,J17,L17,N17,P17,R17,T17,V17,X17,Z17,AB17)</f>
        <v>83</v>
      </c>
    </row>
    <row r="18">
      <c r="A18" t="str">
        <v>92360</v>
      </c>
      <c r="B18" t="str">
        <v>Leptospira Ab. - IgG &amp; IgM titer</v>
      </c>
      <c r="D18">
        <v>193</v>
      </c>
      <c r="F18">
        <v>7</v>
      </c>
      <c r="H18">
        <v>7</v>
      </c>
      <c r="J18">
        <v>5</v>
      </c>
      <c r="L18">
        <v>9</v>
      </c>
      <c r="N18">
        <v>11</v>
      </c>
      <c r="P18">
        <v>9</v>
      </c>
      <c r="AC18">
        <f>SUM(F18,H18,J18,L18,N18,P18,R18,T18,V18,X18,Z18,AB18)</f>
        <v>48</v>
      </c>
    </row>
    <row r="19">
      <c r="A19" t="str">
        <v>92071</v>
      </c>
      <c r="B19" t="str">
        <v>C4 complement</v>
      </c>
      <c r="C19" t="str">
        <v>37107</v>
      </c>
      <c r="D19">
        <v>177</v>
      </c>
      <c r="F19">
        <v>11</v>
      </c>
      <c r="H19">
        <v>12</v>
      </c>
      <c r="J19">
        <v>16</v>
      </c>
      <c r="L19">
        <v>13</v>
      </c>
      <c r="N19">
        <v>17</v>
      </c>
      <c r="P19">
        <v>8</v>
      </c>
      <c r="AC19">
        <f>SUM(F19,H19,J19,L19,N19,P19,R19,T19,V19,X19,Z19,AB19)</f>
        <v>77</v>
      </c>
    </row>
    <row r="20">
      <c r="A20" t="str">
        <v>93018</v>
      </c>
      <c r="B20" t="str">
        <v>Leukemia - RQ-PCR for BCR/ABL (Blood)</v>
      </c>
      <c r="D20">
        <v>2734</v>
      </c>
      <c r="F20">
        <v>17</v>
      </c>
      <c r="H20">
        <v>11</v>
      </c>
      <c r="J20">
        <v>12</v>
      </c>
      <c r="L20">
        <v>13</v>
      </c>
      <c r="N20">
        <v>13</v>
      </c>
      <c r="P20">
        <v>17</v>
      </c>
      <c r="AC20">
        <f>SUM(F20,H20,J20,L20,N20,P20,R20,T20,V20,X20,Z20,AB20)</f>
        <v>83</v>
      </c>
    </row>
    <row r="21">
      <c r="A21" t="str">
        <v>97186</v>
      </c>
      <c r="B21" t="str">
        <v>TSH receptor antibody</v>
      </c>
      <c r="D21">
        <v>308</v>
      </c>
      <c r="F21">
        <v>10</v>
      </c>
      <c r="H21">
        <v>10</v>
      </c>
      <c r="J21">
        <v>5</v>
      </c>
      <c r="L21">
        <v>5</v>
      </c>
      <c r="N21">
        <v>5</v>
      </c>
      <c r="P21">
        <v>11</v>
      </c>
      <c r="AC21">
        <f>SUM(F21,H21,J21,L21,N21,P21,R21,T21,V21,X21,Z21,AB21)</f>
        <v>46</v>
      </c>
    </row>
    <row r="22">
      <c r="A22" t="str">
        <v>92233</v>
      </c>
      <c r="B22" t="str">
        <v>CMV-DNA PCR (Qualitative)</v>
      </c>
      <c r="D22">
        <v>800</v>
      </c>
      <c r="F22">
        <v>13</v>
      </c>
      <c r="H22">
        <v>8</v>
      </c>
      <c r="J22">
        <v>20</v>
      </c>
      <c r="L22">
        <v>13</v>
      </c>
      <c r="N22">
        <v>5</v>
      </c>
      <c r="P22">
        <v>5</v>
      </c>
      <c r="AC22">
        <f>SUM(F22,H22,J22,L22,N22,P22,R22,T22,V22,X22,Z22,AB22)</f>
        <v>64</v>
      </c>
    </row>
    <row r="23">
      <c r="A23" t="str">
        <v>92345</v>
      </c>
      <c r="B23" t="str">
        <v>VDRL in CSF</v>
      </c>
      <c r="D23">
        <v>39</v>
      </c>
      <c r="F23">
        <v>11</v>
      </c>
      <c r="H23">
        <v>9</v>
      </c>
      <c r="J23">
        <v>6</v>
      </c>
      <c r="L23">
        <v>12</v>
      </c>
      <c r="N23">
        <v>10</v>
      </c>
      <c r="P23">
        <v>10</v>
      </c>
      <c r="AC23">
        <f>SUM(F23,H23,J23,L23,N23,P23,R23,T23,V23,X23,Z23,AB23)</f>
        <v>58</v>
      </c>
    </row>
    <row r="24">
      <c r="A24" t="str">
        <v>92270</v>
      </c>
      <c r="B24" t="str">
        <v>Toxoplasma gondii Ab - IgG (serum)</v>
      </c>
      <c r="C24" t="str">
        <v>36103</v>
      </c>
      <c r="D24">
        <v>193</v>
      </c>
      <c r="F24">
        <v>14</v>
      </c>
      <c r="H24">
        <v>9</v>
      </c>
      <c r="J24">
        <v>23</v>
      </c>
      <c r="L24">
        <v>16</v>
      </c>
      <c r="N24">
        <v>7</v>
      </c>
      <c r="P24">
        <v>9</v>
      </c>
      <c r="AC24">
        <f>SUM(F24,H24,J24,L24,N24,P24,R24,T24,V24,X24,Z24,AB24)</f>
        <v>78</v>
      </c>
    </row>
    <row r="25">
      <c r="A25" t="str">
        <v>92271</v>
      </c>
      <c r="B25" t="str">
        <v>Toxoplasma gondii Ab - IgM (serum)</v>
      </c>
      <c r="C25" t="str">
        <v>36103</v>
      </c>
      <c r="D25">
        <v>154</v>
      </c>
      <c r="F25">
        <v>13</v>
      </c>
      <c r="H25">
        <v>8</v>
      </c>
      <c r="J25">
        <v>20</v>
      </c>
      <c r="L25">
        <v>15</v>
      </c>
      <c r="N25">
        <v>6</v>
      </c>
      <c r="P25">
        <v>5</v>
      </c>
      <c r="AC25">
        <f>SUM(F25,H25,J25,L25,N25,P25,R25,T25,V25,X25,Z25,AB25)</f>
        <v>67</v>
      </c>
    </row>
    <row r="26">
      <c r="A26" t="str">
        <v>92237</v>
      </c>
      <c r="B26" t="str">
        <v>HSV-DNA PCR ( Qualitative )</v>
      </c>
      <c r="D26">
        <v>631</v>
      </c>
      <c r="F26">
        <v>9</v>
      </c>
      <c r="H26">
        <v>12</v>
      </c>
      <c r="J26">
        <v>11</v>
      </c>
      <c r="L26">
        <v>8</v>
      </c>
      <c r="N26">
        <v>9</v>
      </c>
      <c r="P26">
        <v>6</v>
      </c>
      <c r="AC26">
        <f>SUM(F26,H26,J26,L26,N26,P26,R26,T26,V26,X26,Z26,AB26)</f>
        <v>55</v>
      </c>
    </row>
    <row r="27">
      <c r="A27" t="str">
        <v>92181</v>
      </c>
      <c r="B27" t="str">
        <v>IgG (Immunoglobulin) Level</v>
      </c>
      <c r="C27" t="str">
        <v>37201</v>
      </c>
      <c r="D27">
        <v>231</v>
      </c>
      <c r="F27">
        <v>7</v>
      </c>
      <c r="H27">
        <v>8</v>
      </c>
      <c r="J27">
        <v>6</v>
      </c>
      <c r="L27">
        <v>9</v>
      </c>
      <c r="N27">
        <v>4</v>
      </c>
      <c r="P27">
        <v>11</v>
      </c>
      <c r="AC27">
        <f>SUM(F27,H27,J27,L27,N27,P27,R27,T27,V27,X27,Z27,AB27)</f>
        <v>45</v>
      </c>
    </row>
    <row r="28">
      <c r="A28" t="str">
        <v>92305</v>
      </c>
      <c r="B28" t="str">
        <v>CMV Viral load (Blood)</v>
      </c>
      <c r="C28" t="str">
        <v>36443</v>
      </c>
      <c r="D28">
        <v>1540</v>
      </c>
      <c r="F28">
        <v>11</v>
      </c>
      <c r="H28">
        <v>10</v>
      </c>
      <c r="J28">
        <v>11</v>
      </c>
      <c r="L28">
        <v>14</v>
      </c>
      <c r="N28">
        <v>12</v>
      </c>
      <c r="P28">
        <v>11</v>
      </c>
      <c r="AC28">
        <f>SUM(F28,H28,J28,L28,N28,P28,R28,T28,V28,X28,Z28,AB28)</f>
        <v>69</v>
      </c>
    </row>
    <row r="29">
      <c r="A29" t="str">
        <v>92052</v>
      </c>
      <c r="B29" t="str">
        <v>ASMA screening (Anti Smooth muscle Ab)</v>
      </c>
      <c r="C29" t="str">
        <v>37017</v>
      </c>
      <c r="D29">
        <v>231</v>
      </c>
      <c r="F29">
        <v>4</v>
      </c>
      <c r="H29">
        <v>4</v>
      </c>
      <c r="J29">
        <v>2</v>
      </c>
      <c r="L29">
        <v>4</v>
      </c>
      <c r="N29">
        <v>6</v>
      </c>
      <c r="P29">
        <v>6</v>
      </c>
      <c r="AC29">
        <f>SUM(F29,H29,J29,L29,N29,P29,R29,T29,V29,X29,Z29,AB29)</f>
        <v>26</v>
      </c>
    </row>
    <row r="30">
      <c r="A30" t="str">
        <v>97261</v>
      </c>
      <c r="B30" t="str">
        <v>HAV Ab IgG (Serum)</v>
      </c>
      <c r="D30">
        <v>193</v>
      </c>
      <c r="F30">
        <v>3</v>
      </c>
      <c r="H30">
        <v>3</v>
      </c>
      <c r="J30">
        <v>6</v>
      </c>
      <c r="L30">
        <v>2</v>
      </c>
      <c r="N30">
        <v>1</v>
      </c>
      <c r="P30">
        <v>4</v>
      </c>
      <c r="AC30">
        <f>SUM(F30,H30,J30,L30,N30,P30,R30,T30,V30,X30,Z30,AB30)</f>
        <v>19</v>
      </c>
    </row>
    <row r="31">
      <c r="A31" t="str">
        <v>92283</v>
      </c>
      <c r="B31" t="str">
        <v>Vitamin B12</v>
      </c>
      <c r="C31" t="str">
        <v>32411</v>
      </c>
      <c r="D31">
        <v>140</v>
      </c>
      <c r="F31">
        <v>12</v>
      </c>
      <c r="H31">
        <v>21</v>
      </c>
      <c r="J31">
        <v>7</v>
      </c>
      <c r="L31">
        <v>23</v>
      </c>
      <c r="N31">
        <v>17</v>
      </c>
      <c r="P31">
        <v>6</v>
      </c>
      <c r="AC31">
        <f>SUM(F31,H31,J31,L31,N31,P31,R31,T31,V31,X31,Z31,AB31)</f>
        <v>86</v>
      </c>
    </row>
    <row r="32">
      <c r="A32" t="str">
        <v>97256</v>
      </c>
      <c r="B32" t="str">
        <v>Flowcytometry acute Leukemia (ส่ง รามา)</v>
      </c>
      <c r="D32">
        <v>6545</v>
      </c>
      <c r="F32">
        <v>7</v>
      </c>
      <c r="H32">
        <v>8</v>
      </c>
      <c r="J32">
        <v>4</v>
      </c>
      <c r="L32">
        <v>9</v>
      </c>
      <c r="N32">
        <v>5</v>
      </c>
      <c r="P32">
        <v>4</v>
      </c>
      <c r="AC32">
        <f>SUM(F32,H32,J32,L32,N32,P32,R32,T32,V32,X32,Z32,AB32)</f>
        <v>37</v>
      </c>
    </row>
    <row r="33">
      <c r="A33" t="str">
        <v>97017</v>
      </c>
      <c r="B33" t="str">
        <v>Anti-Thyroglobulin</v>
      </c>
      <c r="C33" t="str">
        <v>37211</v>
      </c>
      <c r="D33">
        <v>200</v>
      </c>
      <c r="F33">
        <v>6</v>
      </c>
      <c r="H33">
        <v>5</v>
      </c>
      <c r="J33">
        <v>7</v>
      </c>
      <c r="L33">
        <v>6</v>
      </c>
      <c r="N33">
        <v>6</v>
      </c>
      <c r="P33">
        <v>3</v>
      </c>
      <c r="AC33">
        <f>SUM(F33,H33,J33,L33,N33,P33,R33,T33,V33,X33,Z33,AB33)</f>
        <v>33</v>
      </c>
    </row>
    <row r="34">
      <c r="A34" t="str">
        <v>92093</v>
      </c>
      <c r="B34" t="str">
        <v>Clostridium difficile Toxin (A &amp; B)</v>
      </c>
      <c r="C34" t="str">
        <v>36017</v>
      </c>
      <c r="D34">
        <v>385</v>
      </c>
      <c r="F34">
        <v>8</v>
      </c>
      <c r="H34">
        <v>4</v>
      </c>
      <c r="J34">
        <v>10</v>
      </c>
      <c r="L34">
        <v>4</v>
      </c>
      <c r="N34">
        <v>7</v>
      </c>
      <c r="P34">
        <v>8</v>
      </c>
      <c r="AC34">
        <f>SUM(F34,H34,J34,L34,N34,P34,R34,T34,V34,X34,Z34,AB34)</f>
        <v>41</v>
      </c>
    </row>
    <row r="35">
      <c r="A35" t="str">
        <v>95039</v>
      </c>
      <c r="B35" t="str">
        <v>HEV Ab., IgM</v>
      </c>
      <c r="C35" t="str">
        <v>36385</v>
      </c>
      <c r="D35">
        <v>231</v>
      </c>
      <c r="F35">
        <v>2</v>
      </c>
      <c r="H35">
        <v>4</v>
      </c>
      <c r="J35">
        <v>4</v>
      </c>
      <c r="L35">
        <v>5</v>
      </c>
      <c r="N35">
        <v>8</v>
      </c>
      <c r="P35">
        <v>6</v>
      </c>
      <c r="AC35">
        <f>SUM(F35,H35,J35,L35,N35,P35,R35,T35,V35,X35,Z35,AB35)</f>
        <v>29</v>
      </c>
    </row>
    <row r="36">
      <c r="A36" t="str">
        <v>92050</v>
      </c>
      <c r="B36" t="str">
        <v>Anti Sm (Smith extractable nuclear Ab)</v>
      </c>
      <c r="C36" t="str">
        <v>37006</v>
      </c>
      <c r="D36">
        <v>193</v>
      </c>
      <c r="F36">
        <v>2</v>
      </c>
      <c r="H36">
        <v>1</v>
      </c>
      <c r="J36">
        <v>2</v>
      </c>
      <c r="L36">
        <v>3</v>
      </c>
      <c r="N36">
        <v>2</v>
      </c>
      <c r="P36">
        <v>1</v>
      </c>
      <c r="AC36">
        <f>SUM(F36,H36,J36,L36,N36,P36,R36,T36,V36,X36,Z36,AB36)</f>
        <v>11</v>
      </c>
    </row>
    <row r="37">
      <c r="A37" t="str">
        <v>93016</v>
      </c>
      <c r="B37" t="str">
        <v>Leukemia - Jak 2 V617F mutation(Blood)</v>
      </c>
      <c r="D37">
        <v>1016</v>
      </c>
      <c r="F37">
        <v>4</v>
      </c>
      <c r="H37">
        <v>8</v>
      </c>
      <c r="J37">
        <v>6</v>
      </c>
      <c r="L37">
        <v>8</v>
      </c>
      <c r="N37">
        <v>6</v>
      </c>
      <c r="P37">
        <v>7</v>
      </c>
      <c r="AC37">
        <f>SUM(F37,H37,J37,L37,N37,P37,R37,T37,V37,X37,Z37,AB37)</f>
        <v>39</v>
      </c>
    </row>
    <row r="38">
      <c r="A38" t="str">
        <v>97106</v>
      </c>
      <c r="B38" t="str">
        <v>Thai NIPT</v>
      </c>
      <c r="D38">
        <v>5390</v>
      </c>
      <c r="F38">
        <v>1</v>
      </c>
      <c r="H38">
        <v>3</v>
      </c>
      <c r="J38">
        <v>1</v>
      </c>
      <c r="L38">
        <v>1</v>
      </c>
      <c r="N38">
        <v>1</v>
      </c>
      <c r="P38">
        <v>1</v>
      </c>
      <c r="AC38">
        <f>SUM(F38,H38,J38,L38,N38,P38,R38,T38,V38,X38,Z38,AB38)</f>
        <v>8</v>
      </c>
    </row>
    <row r="39">
      <c r="A39" t="str">
        <v>92248</v>
      </c>
      <c r="B39" t="str">
        <v>Protein Electrophoresis</v>
      </c>
      <c r="C39" t="str">
        <v>32006</v>
      </c>
      <c r="D39">
        <v>193</v>
      </c>
      <c r="F39">
        <v>21</v>
      </c>
      <c r="H39">
        <v>15</v>
      </c>
      <c r="J39">
        <v>15</v>
      </c>
      <c r="L39">
        <v>19</v>
      </c>
      <c r="N39">
        <v>9</v>
      </c>
      <c r="P39">
        <v>16</v>
      </c>
      <c r="AC39">
        <f>SUM(F39,H39,J39,L39,N39,P39,R39,T39,V39,X39,Z39,AB39)</f>
        <v>95</v>
      </c>
    </row>
    <row r="40">
      <c r="A40" t="str">
        <v>92121</v>
      </c>
      <c r="B40" t="str">
        <v>Erythropoietin (EPO)</v>
      </c>
      <c r="C40" t="str">
        <v>30308</v>
      </c>
      <c r="D40">
        <v>193</v>
      </c>
      <c r="F40">
        <v>3</v>
      </c>
      <c r="H40">
        <v>4</v>
      </c>
      <c r="J40">
        <v>5</v>
      </c>
      <c r="L40">
        <v>10</v>
      </c>
      <c r="N40">
        <v>3</v>
      </c>
      <c r="P40">
        <v>4</v>
      </c>
      <c r="AC40">
        <f>SUM(F40,H40,J40,L40,N40,P40,R40,T40,V40,X40,Z40,AB40)</f>
        <v>29</v>
      </c>
    </row>
    <row r="41">
      <c r="A41" t="str">
        <v>92218</v>
      </c>
      <c r="B41" t="str">
        <v>Mycoplasma pneumonia Ab., IgM (serum)</v>
      </c>
      <c r="C41" t="str">
        <v>36023</v>
      </c>
      <c r="D41">
        <v>193</v>
      </c>
      <c r="F41">
        <v>3</v>
      </c>
      <c r="H41">
        <v>15</v>
      </c>
      <c r="J41">
        <v>7</v>
      </c>
      <c r="L41">
        <v>4</v>
      </c>
      <c r="N41">
        <v>4</v>
      </c>
      <c r="P41">
        <v>4</v>
      </c>
      <c r="AC41">
        <f>SUM(F41,H41,J41,L41,N41,P41,R41,T41,V41,X41,Z41,AB41)</f>
        <v>37</v>
      </c>
    </row>
    <row r="42">
      <c r="A42" t="str">
        <v>92219</v>
      </c>
      <c r="B42" t="str">
        <v>Mycoplasma pneumonia Ab., IgG (serum)</v>
      </c>
      <c r="D42">
        <v>193</v>
      </c>
      <c r="F42">
        <v>2</v>
      </c>
      <c r="H42">
        <v>15</v>
      </c>
      <c r="J42">
        <v>7</v>
      </c>
      <c r="L42">
        <v>4</v>
      </c>
      <c r="N42">
        <v>4</v>
      </c>
      <c r="P42">
        <v>4</v>
      </c>
      <c r="AC42">
        <f>SUM(F42,H42,J42,L42,N42,P42,R42,T42,V42,X42,Z42,AB42)</f>
        <v>36</v>
      </c>
    </row>
    <row r="43">
      <c r="A43" t="str">
        <v>92014</v>
      </c>
      <c r="B43" t="str">
        <v>Aldosterone (Blood)</v>
      </c>
      <c r="C43" t="str">
        <v>32604</v>
      </c>
      <c r="D43">
        <v>347</v>
      </c>
      <c r="F43">
        <v>4</v>
      </c>
      <c r="H43">
        <v>5</v>
      </c>
      <c r="J43">
        <v>10</v>
      </c>
      <c r="L43">
        <v>6</v>
      </c>
      <c r="N43">
        <v>7</v>
      </c>
      <c r="P43">
        <v>13</v>
      </c>
      <c r="AC43">
        <f>SUM(F43,H43,J43,L43,N43,P43,R43,T43,V43,X43,Z43,AB43)</f>
        <v>45</v>
      </c>
    </row>
    <row r="44">
      <c r="A44" t="str">
        <v>92325</v>
      </c>
      <c r="B44" t="str">
        <v>Galactomanam Antigen</v>
      </c>
      <c r="D44">
        <v>323</v>
      </c>
      <c r="F44">
        <v>7</v>
      </c>
      <c r="H44">
        <v>3</v>
      </c>
      <c r="J44">
        <v>4</v>
      </c>
      <c r="L44">
        <v>9</v>
      </c>
      <c r="N44">
        <v>7</v>
      </c>
      <c r="P44">
        <v>4</v>
      </c>
      <c r="AC44">
        <f>SUM(F44,H44,J44,L44,N44,P44,R44,T44,V44,X44,Z44,AB44)</f>
        <v>34</v>
      </c>
    </row>
    <row r="45">
      <c r="A45" t="str">
        <v>95021</v>
      </c>
      <c r="B45" t="str">
        <v>Rubella Ab - IgM (serum)</v>
      </c>
      <c r="C45" t="str">
        <v>36661</v>
      </c>
      <c r="D45">
        <v>154</v>
      </c>
      <c r="F45">
        <v>8</v>
      </c>
      <c r="H45">
        <v>2</v>
      </c>
      <c r="J45">
        <v>16</v>
      </c>
      <c r="L45">
        <v>9</v>
      </c>
      <c r="N45">
        <v>4</v>
      </c>
      <c r="P45">
        <v>4</v>
      </c>
      <c r="AC45">
        <f>SUM(F45,H45,J45,L45,N45,P45,R45,T45,V45,X45,Z45,AB45)</f>
        <v>43</v>
      </c>
    </row>
    <row r="46">
      <c r="A46" t="str">
        <v>97036</v>
      </c>
      <c r="B46" t="str">
        <v>Plasma Renin Activity (PRA)</v>
      </c>
      <c r="C46" t="str">
        <v>32605</v>
      </c>
      <c r="D46">
        <v>462</v>
      </c>
      <c r="F46">
        <v>2</v>
      </c>
      <c r="H46">
        <v>6</v>
      </c>
      <c r="J46">
        <v>9</v>
      </c>
      <c r="L46">
        <v>5</v>
      </c>
      <c r="N46">
        <v>8</v>
      </c>
      <c r="P46">
        <v>11</v>
      </c>
      <c r="AC46">
        <f>SUM(F46,H46,J46,L46,N46,P46,R46,T46,V46,X46,Z46,AB46)</f>
        <v>41</v>
      </c>
    </row>
    <row r="47">
      <c r="A47" t="str">
        <v>92261</v>
      </c>
      <c r="B47" t="str">
        <v>Testosterone</v>
      </c>
      <c r="C47" t="str">
        <v>32620</v>
      </c>
      <c r="D47">
        <v>146</v>
      </c>
      <c r="F47">
        <v>12</v>
      </c>
      <c r="H47">
        <v>8</v>
      </c>
      <c r="J47">
        <v>13</v>
      </c>
      <c r="L47">
        <v>17</v>
      </c>
      <c r="N47">
        <v>12</v>
      </c>
      <c r="P47">
        <v>12</v>
      </c>
      <c r="AC47">
        <f>SUM(F47,H47,J47,L47,N47,P47,R47,T47,V47,X47,Z47,AB47)</f>
        <v>74</v>
      </c>
    </row>
    <row r="48">
      <c r="A48" t="str">
        <v>92135</v>
      </c>
      <c r="B48" t="str">
        <v>Folate</v>
      </c>
      <c r="C48" t="str">
        <v>32415</v>
      </c>
      <c r="D48">
        <v>185</v>
      </c>
      <c r="F48">
        <v>10</v>
      </c>
      <c r="H48">
        <v>15</v>
      </c>
      <c r="J48">
        <v>5</v>
      </c>
      <c r="L48">
        <v>18</v>
      </c>
      <c r="N48">
        <v>13</v>
      </c>
      <c r="P48">
        <v>3</v>
      </c>
      <c r="AC48">
        <f>SUM(F48,H48,J48,L48,N48,P48,R48,T48,V48,X48,Z48,AB48)</f>
        <v>64</v>
      </c>
    </row>
    <row r="49">
      <c r="A49" t="str">
        <v>92072</v>
      </c>
      <c r="B49" t="str">
        <v>C-peptide</v>
      </c>
      <c r="C49" t="str">
        <v>32624</v>
      </c>
      <c r="D49">
        <v>270</v>
      </c>
      <c r="F49">
        <v>5</v>
      </c>
      <c r="H49">
        <v>4</v>
      </c>
      <c r="J49">
        <v>2</v>
      </c>
      <c r="L49">
        <v>6</v>
      </c>
      <c r="N49">
        <v>1</v>
      </c>
      <c r="P49">
        <v>0</v>
      </c>
      <c r="AC49">
        <f>SUM(F49,H49,J49,L49,N49,P49,R49,T49,V49,X49,Z49,AB49)</f>
        <v>18</v>
      </c>
    </row>
    <row r="50">
      <c r="A50" t="str">
        <v>92326</v>
      </c>
      <c r="B50" t="str">
        <v>Anti Glutamic Acid Decarboxylase ( Anti GAD)</v>
      </c>
      <c r="D50">
        <v>385</v>
      </c>
      <c r="F50">
        <v>4</v>
      </c>
      <c r="H50">
        <v>2</v>
      </c>
      <c r="J50">
        <v>7</v>
      </c>
      <c r="L50">
        <v>8</v>
      </c>
      <c r="N50">
        <v>2</v>
      </c>
      <c r="P50">
        <v>1</v>
      </c>
      <c r="AC50">
        <f>SUM(F50,H50,J50,L50,N50,P50,R50,T50,V50,X50,Z50,AB50)</f>
        <v>24</v>
      </c>
    </row>
    <row r="51">
      <c r="A51" t="str">
        <v>97082</v>
      </c>
      <c r="B51" t="str">
        <v>Keppra level (Levetiracetam)-[BPL]</v>
      </c>
      <c r="D51">
        <v>1000</v>
      </c>
      <c r="F51">
        <v>5</v>
      </c>
      <c r="H51">
        <v>7</v>
      </c>
      <c r="J51">
        <v>4</v>
      </c>
      <c r="L51">
        <v>5</v>
      </c>
      <c r="N51">
        <v>4</v>
      </c>
      <c r="P51">
        <v>2</v>
      </c>
      <c r="AC51">
        <f>SUM(F51,H51,J51,L51,N51,P51,R51,T51,V51,X51,Z51,AB51)</f>
        <v>27</v>
      </c>
    </row>
    <row r="52">
      <c r="A52" t="str">
        <v>95071</v>
      </c>
      <c r="B52" t="str">
        <v>Anti-Thyroid Peroxidase (Anti-TPO)</v>
      </c>
      <c r="D52">
        <v>200</v>
      </c>
      <c r="F52">
        <v>6</v>
      </c>
      <c r="H52">
        <v>3</v>
      </c>
      <c r="J52">
        <v>4</v>
      </c>
      <c r="L52">
        <v>4</v>
      </c>
      <c r="N52">
        <v>2</v>
      </c>
      <c r="P52">
        <v>4</v>
      </c>
      <c r="AC52">
        <f>SUM(F52,H52,J52,L52,N52,P52,R52,T52,V52,X52,Z52,AB52)</f>
        <v>23</v>
      </c>
    </row>
    <row r="53">
      <c r="A53" t="str">
        <v>92024</v>
      </c>
      <c r="B53" t="str">
        <v>Anti D Nase B</v>
      </c>
      <c r="D53">
        <v>250</v>
      </c>
      <c r="F53">
        <v>6</v>
      </c>
      <c r="H53">
        <v>3</v>
      </c>
      <c r="J53">
        <v>5</v>
      </c>
      <c r="L53">
        <v>6</v>
      </c>
      <c r="N53">
        <v>4</v>
      </c>
      <c r="P53">
        <v>0</v>
      </c>
      <c r="AC53">
        <f>SUM(F53,H53,J53,L53,N53,P53,R53,T53,V53,X53,Z53,AB53)</f>
        <v>24</v>
      </c>
    </row>
    <row r="54">
      <c r="A54" t="str">
        <v>92354</v>
      </c>
      <c r="B54" t="str">
        <v>Thyroglobulin level (Ag)</v>
      </c>
      <c r="C54" t="str">
        <v>32630</v>
      </c>
      <c r="D54">
        <v>250</v>
      </c>
      <c r="F54">
        <v>4</v>
      </c>
      <c r="H54">
        <v>5</v>
      </c>
      <c r="J54">
        <v>7</v>
      </c>
      <c r="L54">
        <v>5</v>
      </c>
      <c r="N54">
        <v>5</v>
      </c>
      <c r="P54">
        <v>4</v>
      </c>
      <c r="AC54">
        <f>SUM(F54,H54,J54,L54,N54,P54,R54,T54,V54,X54,Z54,AB54)</f>
        <v>30</v>
      </c>
    </row>
    <row r="55">
      <c r="A55" t="str">
        <v>92323</v>
      </c>
      <c r="B55" t="str">
        <v>Immunofixation Electrophoresis (IFE)</v>
      </c>
      <c r="C55" t="str">
        <v>33154</v>
      </c>
      <c r="D55">
        <v>1250</v>
      </c>
      <c r="F55">
        <v>18</v>
      </c>
      <c r="H55">
        <v>12</v>
      </c>
      <c r="J55">
        <v>11</v>
      </c>
      <c r="L55">
        <v>14</v>
      </c>
      <c r="N55">
        <v>9</v>
      </c>
      <c r="P55">
        <v>15</v>
      </c>
      <c r="AC55">
        <f>SUM(F55,H55,J55,L55,N55,P55,R55,T55,V55,X55,Z55,AB55)</f>
        <v>79</v>
      </c>
    </row>
    <row r="56">
      <c r="A56" t="str">
        <v>92047</v>
      </c>
      <c r="B56" t="str">
        <v>Anti mitochondrial Antibody (AMA) Screening (M2)</v>
      </c>
      <c r="C56" t="str">
        <v>37016</v>
      </c>
      <c r="D56">
        <v>220</v>
      </c>
      <c r="F56">
        <v>4</v>
      </c>
      <c r="H56">
        <v>1</v>
      </c>
      <c r="J56">
        <v>4</v>
      </c>
      <c r="L56">
        <v>2</v>
      </c>
      <c r="N56">
        <v>6</v>
      </c>
      <c r="P56">
        <v>3</v>
      </c>
      <c r="AC56">
        <f>SUM(F56,H56,J56,L56,N56,P56,R56,T56,V56,X56,Z56,AB56)</f>
        <v>20</v>
      </c>
    </row>
    <row r="57">
      <c r="A57" t="str">
        <v>92357</v>
      </c>
      <c r="B57" t="str">
        <v>Anti-Cyclic Citrullinated Peptide (Anti-CCP)</v>
      </c>
      <c r="D57">
        <v>300</v>
      </c>
      <c r="F57">
        <v>7</v>
      </c>
      <c r="H57">
        <v>11</v>
      </c>
      <c r="J57">
        <v>8</v>
      </c>
      <c r="L57">
        <v>7</v>
      </c>
      <c r="N57">
        <v>2</v>
      </c>
      <c r="P57">
        <v>5</v>
      </c>
      <c r="AC57">
        <f>SUM(F57,H57,J57,L57,N57,P57,R57,T57,V57,X57,Z57,AB57)</f>
        <v>40</v>
      </c>
    </row>
    <row r="58">
      <c r="A58" t="str">
        <v>92035</v>
      </c>
      <c r="B58" t="str">
        <v>EBV-CA Ab., IgM</v>
      </c>
      <c r="C58" t="str">
        <v>36430</v>
      </c>
      <c r="D58">
        <v>250</v>
      </c>
      <c r="F58">
        <v>5</v>
      </c>
      <c r="H58">
        <v>6</v>
      </c>
      <c r="J58">
        <v>5</v>
      </c>
      <c r="L58">
        <v>4</v>
      </c>
      <c r="N58">
        <v>6</v>
      </c>
      <c r="P58">
        <v>2</v>
      </c>
      <c r="AC58">
        <f>SUM(F58,H58,J58,L58,N58,P58,R58,T58,V58,X58,Z58,AB58)</f>
        <v>28</v>
      </c>
    </row>
    <row r="59">
      <c r="A59" t="str">
        <v>92208</v>
      </c>
      <c r="B59" t="str">
        <v>Mercury(Hg),urine</v>
      </c>
      <c r="C59" t="str">
        <v>33512</v>
      </c>
      <c r="D59">
        <v>100</v>
      </c>
      <c r="F59">
        <v>0</v>
      </c>
      <c r="H59">
        <v>0</v>
      </c>
      <c r="J59">
        <v>0</v>
      </c>
      <c r="L59">
        <v>0</v>
      </c>
      <c r="N59">
        <v>0</v>
      </c>
      <c r="P59">
        <v>0</v>
      </c>
      <c r="AC59">
        <f>SUM(F59,H59,J59,L59,N59,P59,R59,T59,V59,X59,Z59,AB59)</f>
        <v>0</v>
      </c>
    </row>
    <row r="60">
      <c r="A60" t="str">
        <v>92028</v>
      </c>
      <c r="B60" t="str">
        <v>CMV Ab. , Ig M , serum</v>
      </c>
      <c r="C60" t="str">
        <v>36440</v>
      </c>
      <c r="D60">
        <v>181</v>
      </c>
      <c r="F60">
        <v>7</v>
      </c>
      <c r="H60">
        <v>7</v>
      </c>
      <c r="J60">
        <v>10</v>
      </c>
      <c r="L60">
        <v>6</v>
      </c>
      <c r="N60">
        <v>14</v>
      </c>
      <c r="P60">
        <v>5</v>
      </c>
      <c r="AC60">
        <f>SUM(F60,H60,J60,L60,N60,P60,R60,T60,V60,X60,Z60,AB60)</f>
        <v>49</v>
      </c>
    </row>
    <row r="61">
      <c r="A61" t="str">
        <v>97124</v>
      </c>
      <c r="B61" t="str">
        <v>ยกเลิก ใช้รหัส 70093 แทน</v>
      </c>
      <c r="C61" t="str">
        <v>30621</v>
      </c>
      <c r="D61">
        <v>500</v>
      </c>
      <c r="F61">
        <v>0</v>
      </c>
      <c r="H61">
        <v>0</v>
      </c>
      <c r="J61">
        <v>0</v>
      </c>
      <c r="L61">
        <v>0</v>
      </c>
      <c r="N61">
        <v>0</v>
      </c>
      <c r="P61">
        <v>0</v>
      </c>
      <c r="AC61">
        <f>SUM(F61,H61,J61,L61,N61,P61,R61,T61,V61,X61,Z61,AB61)</f>
        <v>0</v>
      </c>
    </row>
    <row r="62">
      <c r="A62" t="str">
        <v>98061</v>
      </c>
      <c r="B62" t="str">
        <v>Anti cardiolipin IgM</v>
      </c>
      <c r="C62" t="str">
        <v>37208</v>
      </c>
      <c r="D62">
        <v>250</v>
      </c>
      <c r="F62">
        <v>5</v>
      </c>
      <c r="H62">
        <v>2</v>
      </c>
      <c r="J62">
        <v>10</v>
      </c>
      <c r="L62">
        <v>7</v>
      </c>
      <c r="N62">
        <v>11</v>
      </c>
      <c r="P62">
        <v>8</v>
      </c>
      <c r="AC62">
        <f>SUM(F62,H62,J62,L62,N62,P62,R62,T62,V62,X62,Z62,AB62)</f>
        <v>43</v>
      </c>
    </row>
    <row r="63">
      <c r="A63" t="str">
        <v>92213</v>
      </c>
      <c r="B63" t="str">
        <v>Methotrexate (MTX) ** ขอผลด่วน **</v>
      </c>
      <c r="D63">
        <v>220</v>
      </c>
      <c r="F63">
        <v>2</v>
      </c>
      <c r="H63">
        <v>1</v>
      </c>
      <c r="J63">
        <v>4</v>
      </c>
      <c r="L63">
        <v>5</v>
      </c>
      <c r="N63">
        <v>2</v>
      </c>
      <c r="P63">
        <v>4</v>
      </c>
      <c r="AC63">
        <f>SUM(F63,H63,J63,L63,N63,P63,R63,T63,V63,X63,Z63,AB63)</f>
        <v>18</v>
      </c>
    </row>
    <row r="64">
      <c r="A64" t="str">
        <v>92364</v>
      </c>
      <c r="B64" t="str">
        <v>HLA-B27</v>
      </c>
      <c r="C64" t="str">
        <v>30601</v>
      </c>
      <c r="D64">
        <v>440</v>
      </c>
      <c r="F64">
        <v>4</v>
      </c>
      <c r="H64">
        <v>4</v>
      </c>
      <c r="J64">
        <v>2</v>
      </c>
      <c r="L64">
        <v>5</v>
      </c>
      <c r="N64">
        <v>6</v>
      </c>
      <c r="P64">
        <v>4</v>
      </c>
      <c r="AC64">
        <f>SUM(F64,H64,J64,L64,N64,P64,R64,T64,V64,X64,Z64,AB64)</f>
        <v>25</v>
      </c>
    </row>
    <row r="65">
      <c r="A65" t="str">
        <v>98060</v>
      </c>
      <c r="B65" t="str">
        <v>Anti cardiolipin IgG</v>
      </c>
      <c r="C65" t="str">
        <v>37207</v>
      </c>
      <c r="D65">
        <v>240</v>
      </c>
      <c r="F65">
        <v>5</v>
      </c>
      <c r="H65">
        <v>2</v>
      </c>
      <c r="J65">
        <v>10</v>
      </c>
      <c r="L65">
        <v>7</v>
      </c>
      <c r="N65">
        <v>11</v>
      </c>
      <c r="P65">
        <v>8</v>
      </c>
      <c r="AC65">
        <f>SUM(F65,H65,J65,L65,N65,P65,R65,T65,V65,X65,Z65,AB65)</f>
        <v>43</v>
      </c>
    </row>
    <row r="66">
      <c r="A66" t="str">
        <v>92026</v>
      </c>
      <c r="B66" t="str">
        <v>CMV Ab. , IgG , serum</v>
      </c>
      <c r="C66" t="str">
        <v>36440</v>
      </c>
      <c r="D66">
        <v>200</v>
      </c>
      <c r="F66">
        <v>9</v>
      </c>
      <c r="H66">
        <v>7</v>
      </c>
      <c r="J66">
        <v>17</v>
      </c>
      <c r="L66">
        <v>8</v>
      </c>
      <c r="N66">
        <v>15</v>
      </c>
      <c r="P66">
        <v>7</v>
      </c>
      <c r="AC66">
        <f>SUM(F66,H66,J66,L66,N66,P66,R66,T66,V66,X66,Z66,AB66)</f>
        <v>63</v>
      </c>
    </row>
    <row r="67">
      <c r="A67" t="str">
        <v>93001</v>
      </c>
      <c r="B67" t="str">
        <v>Chromosome analysis for leukemia(Blood)</v>
      </c>
      <c r="C67" t="str">
        <v>37576</v>
      </c>
      <c r="D67">
        <v>1500</v>
      </c>
      <c r="F67">
        <v>3</v>
      </c>
      <c r="H67">
        <v>2</v>
      </c>
      <c r="J67">
        <v>1</v>
      </c>
      <c r="L67">
        <v>1</v>
      </c>
      <c r="N67">
        <v>1</v>
      </c>
      <c r="P67">
        <v>1</v>
      </c>
      <c r="AC67">
        <f>SUM(F67,H67,J67,L67,N67,P67,R67,T67,V67,X67,Z67,AB67)</f>
        <v>9</v>
      </c>
    </row>
    <row r="68">
      <c r="A68" t="str">
        <v>95063</v>
      </c>
      <c r="B68" t="str">
        <v>HEV Ab., IgG</v>
      </c>
      <c r="C68" t="str">
        <v>36385</v>
      </c>
      <c r="D68">
        <v>250</v>
      </c>
      <c r="F68">
        <v>1</v>
      </c>
      <c r="H68">
        <v>1</v>
      </c>
      <c r="J68">
        <v>1</v>
      </c>
      <c r="L68">
        <v>1</v>
      </c>
      <c r="N68">
        <v>0</v>
      </c>
      <c r="P68">
        <v>1</v>
      </c>
      <c r="AC68">
        <f>SUM(F68,H68,J68,L68,N68,P68,R68,T68,V68,X68,Z68,AB68)</f>
        <v>5</v>
      </c>
    </row>
    <row r="69">
      <c r="A69" t="str">
        <v>92185</v>
      </c>
      <c r="B69" t="str">
        <v>Insulin</v>
      </c>
      <c r="C69" t="str">
        <v>32625</v>
      </c>
      <c r="D69">
        <v>150</v>
      </c>
      <c r="F69">
        <v>4</v>
      </c>
      <c r="H69">
        <v>6</v>
      </c>
      <c r="J69">
        <v>1</v>
      </c>
      <c r="L69">
        <v>1</v>
      </c>
      <c r="N69">
        <v>4</v>
      </c>
      <c r="P69">
        <v>2</v>
      </c>
      <c r="AC69">
        <f>SUM(F69,H69,J69,L69,N69,P69,R69,T69,V69,X69,Z69,AB69)</f>
        <v>18</v>
      </c>
    </row>
    <row r="70">
      <c r="A70" t="str">
        <v>92045</v>
      </c>
      <c r="B70" t="str">
        <v>HSV Ab. (Type I&amp;II) , IgM (serum)</v>
      </c>
      <c r="C70" t="str">
        <v>36402</v>
      </c>
      <c r="D70">
        <v>240</v>
      </c>
      <c r="F70">
        <v>4</v>
      </c>
      <c r="H70">
        <v>0</v>
      </c>
      <c r="J70">
        <v>2</v>
      </c>
      <c r="L70">
        <v>3</v>
      </c>
      <c r="N70">
        <v>5</v>
      </c>
      <c r="P70">
        <v>2</v>
      </c>
      <c r="AC70">
        <f>SUM(F70,H70,J70,L70,N70,P70,R70,T70,V70,X70,Z70,AB70)</f>
        <v>16</v>
      </c>
    </row>
    <row r="71">
      <c r="A71" t="str">
        <v>97125</v>
      </c>
      <c r="B71" t="str">
        <v>Acetylcholine Receptor Ab</v>
      </c>
      <c r="D71">
        <v>850</v>
      </c>
      <c r="F71">
        <v>9</v>
      </c>
      <c r="H71">
        <v>4</v>
      </c>
      <c r="J71">
        <v>4</v>
      </c>
      <c r="L71">
        <v>3</v>
      </c>
      <c r="N71">
        <v>3</v>
      </c>
      <c r="P71">
        <v>3</v>
      </c>
      <c r="AC71">
        <f>SUM(F71,H71,J71,L71,N71,P71,R71,T71,V71,X71,Z71,AB71)</f>
        <v>26</v>
      </c>
    </row>
    <row r="72">
      <c r="A72" t="str">
        <v>92352</v>
      </c>
      <c r="B72" t="str">
        <v>Free light chain ; Kappa</v>
      </c>
      <c r="D72">
        <v>750</v>
      </c>
      <c r="F72">
        <v>1</v>
      </c>
      <c r="H72">
        <v>1</v>
      </c>
      <c r="J72">
        <v>0</v>
      </c>
      <c r="L72">
        <v>1</v>
      </c>
      <c r="N72">
        <v>1</v>
      </c>
      <c r="P72">
        <v>0</v>
      </c>
      <c r="AC72">
        <f>SUM(F72,H72,J72,L72,N72,P72,R72,T72,V72,X72,Z72,AB72)</f>
        <v>4</v>
      </c>
    </row>
    <row r="73">
      <c r="A73" t="str">
        <v>92353</v>
      </c>
      <c r="B73" t="str">
        <v>Free light chain ; Lambda</v>
      </c>
      <c r="D73">
        <v>750</v>
      </c>
      <c r="F73">
        <v>0</v>
      </c>
      <c r="H73">
        <v>1</v>
      </c>
      <c r="J73">
        <v>0</v>
      </c>
      <c r="L73">
        <v>1</v>
      </c>
      <c r="N73">
        <v>1</v>
      </c>
      <c r="P73">
        <v>0</v>
      </c>
      <c r="AC73">
        <f>SUM(F73,H73,J73,L73,N73,P73,R73,T73,V73,X73,Z73,AB73)</f>
        <v>3</v>
      </c>
    </row>
    <row r="74">
      <c r="A74" t="str">
        <v>92034</v>
      </c>
      <c r="B74" t="str">
        <v>EBV-CA Ab., IgG</v>
      </c>
      <c r="C74" t="str">
        <v>36430</v>
      </c>
      <c r="D74">
        <v>250</v>
      </c>
      <c r="F74">
        <v>3</v>
      </c>
      <c r="H74">
        <v>11</v>
      </c>
      <c r="J74">
        <v>8</v>
      </c>
      <c r="L74">
        <v>10</v>
      </c>
      <c r="N74">
        <v>15</v>
      </c>
      <c r="P74">
        <v>3</v>
      </c>
      <c r="AC74">
        <f>SUM(F74,H74,J74,L74,N74,P74,R74,T74,V74,X74,Z74,AB74)</f>
        <v>50</v>
      </c>
    </row>
    <row r="75">
      <c r="A75" t="str">
        <v>95044</v>
      </c>
      <c r="B75" t="str">
        <v>Lead (Pb), Blood</v>
      </c>
      <c r="C75" t="str">
        <v>33508</v>
      </c>
      <c r="D75">
        <v>72</v>
      </c>
      <c r="F75">
        <v>1</v>
      </c>
      <c r="H75">
        <v>0</v>
      </c>
      <c r="J75">
        <v>2</v>
      </c>
      <c r="L75">
        <v>0</v>
      </c>
      <c r="N75">
        <v>0</v>
      </c>
      <c r="P75">
        <v>1</v>
      </c>
      <c r="AC75">
        <f>SUM(F75,H75,J75,L75,N75,P75,R75,T75,V75,X75,Z75,AB75)</f>
        <v>4</v>
      </c>
    </row>
    <row r="76">
      <c r="A76" t="str">
        <v>95084</v>
      </c>
      <c r="B76" t="str">
        <v>Neuromyelitis optica (NMO-IgG) -Serum</v>
      </c>
      <c r="D76">
        <v>800</v>
      </c>
      <c r="F76">
        <v>4</v>
      </c>
      <c r="H76">
        <v>1</v>
      </c>
      <c r="J76">
        <v>1</v>
      </c>
      <c r="L76">
        <v>2</v>
      </c>
      <c r="N76">
        <v>6</v>
      </c>
      <c r="P76">
        <v>3</v>
      </c>
      <c r="AC76">
        <f>SUM(F76,H76,J76,L76,N76,P76,R76,T76,V76,X76,Z76,AB76)</f>
        <v>17</v>
      </c>
    </row>
    <row r="77">
      <c r="A77" t="str">
        <v>97159</v>
      </c>
      <c r="B77" t="str">
        <v>Autoimmune encephalopathy-CSF (BPL)(สถาบันประสาทฯ)</v>
      </c>
      <c r="D77">
        <v>3500</v>
      </c>
      <c r="F77">
        <v>2</v>
      </c>
      <c r="H77">
        <v>5</v>
      </c>
      <c r="J77">
        <v>1</v>
      </c>
      <c r="L77">
        <v>3</v>
      </c>
      <c r="N77">
        <v>1</v>
      </c>
      <c r="P77">
        <v>3</v>
      </c>
      <c r="AC77">
        <f>SUM(F77,H77,J77,L77,N77,P77,R77,T77,V77,X77,Z77,AB77)</f>
        <v>15</v>
      </c>
    </row>
    <row r="78">
      <c r="A78" t="str">
        <v>92288</v>
      </c>
      <c r="B78" t="str">
        <v>IGF-1 (Insulin life growth factor I)</v>
      </c>
      <c r="C78" t="str">
        <v>32626</v>
      </c>
      <c r="D78">
        <v>432</v>
      </c>
      <c r="F78">
        <v>11</v>
      </c>
      <c r="H78">
        <v>6</v>
      </c>
      <c r="J78">
        <v>12</v>
      </c>
      <c r="L78">
        <v>7</v>
      </c>
      <c r="N78">
        <v>6</v>
      </c>
      <c r="P78">
        <v>8</v>
      </c>
      <c r="AC78">
        <f>SUM(F78,H78,J78,L78,N78,P78,R78,T78,V78,X78,Z78,AB78)</f>
        <v>50</v>
      </c>
    </row>
    <row r="79">
      <c r="A79" t="str">
        <v>95056</v>
      </c>
      <c r="B79" t="str">
        <v>E. histolytica Ab., IgG</v>
      </c>
      <c r="C79" t="str">
        <v>36208</v>
      </c>
      <c r="D79">
        <v>300</v>
      </c>
      <c r="F79">
        <v>1</v>
      </c>
      <c r="H79">
        <v>5</v>
      </c>
      <c r="J79">
        <v>4</v>
      </c>
      <c r="L79">
        <v>1</v>
      </c>
      <c r="N79">
        <v>1</v>
      </c>
      <c r="P79">
        <v>1</v>
      </c>
      <c r="AC79">
        <f>SUM(F79,H79,J79,L79,N79,P79,R79,T79,V79,X79,Z79,AB79)</f>
        <v>13</v>
      </c>
    </row>
    <row r="80">
      <c r="A80" t="str">
        <v>92351</v>
      </c>
      <c r="B80" t="str">
        <v>Free light chain Kappa/Lambda ratio</v>
      </c>
      <c r="D80">
        <v>750</v>
      </c>
      <c r="F80">
        <v>17</v>
      </c>
      <c r="H80">
        <v>13</v>
      </c>
      <c r="J80">
        <v>10</v>
      </c>
      <c r="L80">
        <v>15</v>
      </c>
      <c r="N80">
        <v>9</v>
      </c>
      <c r="P80">
        <v>15</v>
      </c>
      <c r="AC80">
        <f>SUM(F80,H80,J80,L80,N80,P80,R80,T80,V80,X80,Z80,AB80)</f>
        <v>79</v>
      </c>
    </row>
    <row r="81">
      <c r="A81" t="str">
        <v>92044</v>
      </c>
      <c r="B81" t="str">
        <v>HSV Ab. (Type I&amp;II), IgG (serum)</v>
      </c>
      <c r="C81" t="str">
        <v>36402</v>
      </c>
      <c r="D81">
        <v>216</v>
      </c>
      <c r="F81">
        <v>4</v>
      </c>
      <c r="H81">
        <v>0</v>
      </c>
      <c r="J81">
        <v>5</v>
      </c>
      <c r="L81">
        <v>4</v>
      </c>
      <c r="N81">
        <v>4</v>
      </c>
      <c r="P81">
        <v>5</v>
      </c>
      <c r="AC81">
        <f>SUM(F81,H81,J81,L81,N81,P81,R81,T81,V81,X81,Z81,AB81)</f>
        <v>22</v>
      </c>
    </row>
    <row r="82">
      <c r="A82" t="str">
        <v>98059</v>
      </c>
      <c r="B82" t="str">
        <v>Flowcytometry:PNH panel (ส่ง รามา)</v>
      </c>
      <c r="D82">
        <v>2000</v>
      </c>
      <c r="F82">
        <v>0</v>
      </c>
      <c r="H82">
        <v>0</v>
      </c>
      <c r="J82">
        <v>3</v>
      </c>
      <c r="L82">
        <v>1</v>
      </c>
      <c r="N82">
        <v>1</v>
      </c>
      <c r="P82">
        <v>0</v>
      </c>
      <c r="AC82">
        <f>SUM(F82,H82,J82,L82,N82,P82,R82,T82,V82,X82,Z82,AB82)</f>
        <v>5</v>
      </c>
    </row>
    <row r="83">
      <c r="A83" t="str">
        <v>97171</v>
      </c>
      <c r="B83" t="str">
        <v>CA15-3</v>
      </c>
      <c r="D83">
        <v>140</v>
      </c>
      <c r="F83">
        <v>3</v>
      </c>
      <c r="H83">
        <v>3</v>
      </c>
      <c r="J83">
        <v>0</v>
      </c>
      <c r="L83">
        <v>2</v>
      </c>
      <c r="N83">
        <v>0</v>
      </c>
      <c r="P83">
        <v>3</v>
      </c>
      <c r="AC83">
        <f>SUM(F83,H83,J83,L83,N83,P83,R83,T83,V83,X83,Z83,AB83)</f>
        <v>11</v>
      </c>
    </row>
    <row r="84">
      <c r="A84" t="str">
        <v>95069</v>
      </c>
      <c r="B84" t="str">
        <v>EBV Viral load</v>
      </c>
      <c r="D84">
        <v>1600</v>
      </c>
      <c r="F84">
        <v>1</v>
      </c>
      <c r="H84">
        <v>0</v>
      </c>
      <c r="J84">
        <v>1</v>
      </c>
      <c r="L84">
        <v>3</v>
      </c>
      <c r="N84">
        <v>3</v>
      </c>
      <c r="P84">
        <v>0</v>
      </c>
      <c r="AC84">
        <f>SUM(F84,H84,J84,L84,N84,P84,R84,T84,V84,X84,Z84,AB84)</f>
        <v>8</v>
      </c>
    </row>
    <row r="85">
      <c r="A85" t="str">
        <v>92112</v>
      </c>
      <c r="B85" t="str">
        <v>Dehydroepiandrosterone Sulfate (DHEA-S)</v>
      </c>
      <c r="C85" t="str">
        <v>32607</v>
      </c>
      <c r="D85">
        <v>240</v>
      </c>
      <c r="F85">
        <v>5</v>
      </c>
      <c r="H85">
        <v>1</v>
      </c>
      <c r="J85">
        <v>0</v>
      </c>
      <c r="L85">
        <v>2</v>
      </c>
      <c r="N85">
        <v>1</v>
      </c>
      <c r="P85">
        <v>2</v>
      </c>
      <c r="AC85">
        <f>SUM(F85,H85,J85,L85,N85,P85,R85,T85,V85,X85,Z85,AB85)</f>
        <v>11</v>
      </c>
    </row>
    <row r="86">
      <c r="A86" t="str">
        <v>92010</v>
      </c>
      <c r="B86" t="str">
        <v>Adrenocorticotropic hormone(ACTH)</v>
      </c>
      <c r="C86" t="str">
        <v>32601</v>
      </c>
      <c r="D86">
        <v>231</v>
      </c>
      <c r="F86">
        <v>4</v>
      </c>
      <c r="H86">
        <v>1</v>
      </c>
      <c r="J86">
        <v>1</v>
      </c>
      <c r="L86">
        <v>1</v>
      </c>
      <c r="N86">
        <v>1</v>
      </c>
      <c r="P86">
        <v>2</v>
      </c>
      <c r="AC86">
        <f>SUM(F86,H86,J86,L86,N86,P86,R86,T86,V86,X86,Z86,AB86)</f>
        <v>10</v>
      </c>
    </row>
    <row r="87">
      <c r="A87" t="str">
        <v>92058</v>
      </c>
      <c r="B87" t="str">
        <v>Anti-SSA(Ro)</v>
      </c>
      <c r="C87" t="str">
        <v>37009</v>
      </c>
      <c r="D87">
        <v>340</v>
      </c>
      <c r="F87">
        <v>1</v>
      </c>
      <c r="H87">
        <v>0</v>
      </c>
      <c r="J87">
        <v>2</v>
      </c>
      <c r="L87">
        <v>2</v>
      </c>
      <c r="N87">
        <v>1</v>
      </c>
      <c r="P87">
        <v>1</v>
      </c>
      <c r="AC87">
        <f>SUM(F87,H87,J87,L87,N87,P87,R87,T87,V87,X87,Z87,AB87)</f>
        <v>7</v>
      </c>
    </row>
    <row r="88">
      <c r="A88" t="str">
        <v>97130</v>
      </c>
      <c r="B88" t="str">
        <v>Allergy Profile Food &amp; Respiratory Panel (40 Allergens)</v>
      </c>
      <c r="D88">
        <v>1850</v>
      </c>
      <c r="F88">
        <v>4</v>
      </c>
      <c r="H88">
        <v>1</v>
      </c>
      <c r="J88">
        <v>2</v>
      </c>
      <c r="L88">
        <v>1</v>
      </c>
      <c r="N88">
        <v>2</v>
      </c>
      <c r="P88">
        <v>2</v>
      </c>
      <c r="AC88">
        <f>SUM(F88,H88,J88,L88,N88,P88,R88,T88,V88,X88,Z88,AB88)</f>
        <v>12</v>
      </c>
    </row>
    <row r="89">
      <c r="A89" t="str">
        <v>95026</v>
      </c>
      <c r="B89" t="str">
        <v>Anti-SSB (La)</v>
      </c>
      <c r="C89" t="str">
        <v>37010</v>
      </c>
      <c r="D89">
        <v>340</v>
      </c>
      <c r="F89">
        <v>1</v>
      </c>
      <c r="H89">
        <v>0</v>
      </c>
      <c r="J89">
        <v>2</v>
      </c>
      <c r="L89">
        <v>2</v>
      </c>
      <c r="N89">
        <v>1</v>
      </c>
      <c r="P89">
        <v>1</v>
      </c>
      <c r="AC89">
        <f>SUM(F89,H89,J89,L89,N89,P89,R89,T89,V89,X89,Z89,AB89)</f>
        <v>7</v>
      </c>
    </row>
    <row r="90">
      <c r="A90" t="str">
        <v>97077</v>
      </c>
      <c r="B90" t="str">
        <v>HLA-B*58:01(กลุ่มยา)</v>
      </c>
      <c r="C90" t="str">
        <v>30622</v>
      </c>
      <c r="D90">
        <v>500</v>
      </c>
      <c r="F90">
        <v>0</v>
      </c>
      <c r="H90">
        <v>0</v>
      </c>
      <c r="J90">
        <v>0</v>
      </c>
      <c r="L90">
        <v>0</v>
      </c>
      <c r="N90">
        <v>0</v>
      </c>
      <c r="P90">
        <v>0</v>
      </c>
      <c r="AC90">
        <f>SUM(F90,H90,J90,L90,N90,P90,R90,T90,V90,X90,Z90,AB90)</f>
        <v>0</v>
      </c>
    </row>
    <row r="91">
      <c r="A91" t="str">
        <v>95072</v>
      </c>
      <c r="B91" t="str">
        <v>QuantiFeron (Interferon gamma release)</v>
      </c>
      <c r="D91">
        <v>1500</v>
      </c>
      <c r="F91">
        <v>2</v>
      </c>
      <c r="H91">
        <v>15</v>
      </c>
      <c r="J91">
        <v>6</v>
      </c>
      <c r="L91">
        <v>3</v>
      </c>
      <c r="N91">
        <v>3</v>
      </c>
      <c r="P91">
        <v>6</v>
      </c>
      <c r="AC91">
        <f>SUM(F91,H91,J91,L91,N91,P91,R91,T91,V91,X91,Z91,AB91)</f>
        <v>35</v>
      </c>
    </row>
    <row r="92">
      <c r="A92" t="str">
        <v>92314</v>
      </c>
      <c r="B92" t="str">
        <v>Oligoclonal band</v>
      </c>
      <c r="D92">
        <v>510</v>
      </c>
      <c r="F92">
        <v>1</v>
      </c>
      <c r="H92">
        <v>1</v>
      </c>
      <c r="J92">
        <v>1</v>
      </c>
      <c r="L92">
        <v>1</v>
      </c>
      <c r="N92">
        <v>4</v>
      </c>
      <c r="P92">
        <v>2</v>
      </c>
      <c r="AC92">
        <f>SUM(F92,H92,J92,L92,N92,P92,R92,T92,V92,X92,Z92,AB92)</f>
        <v>10</v>
      </c>
    </row>
    <row r="93">
      <c r="A93" t="str">
        <v>92161</v>
      </c>
      <c r="B93" t="str">
        <v>HCV-RNA PCR (Qualitative)</v>
      </c>
      <c r="D93">
        <v>1500</v>
      </c>
      <c r="F93">
        <v>1</v>
      </c>
      <c r="H93">
        <v>1</v>
      </c>
      <c r="J93">
        <v>0</v>
      </c>
      <c r="L93">
        <v>0</v>
      </c>
      <c r="N93">
        <v>0</v>
      </c>
      <c r="P93">
        <v>1</v>
      </c>
      <c r="AC93">
        <f>SUM(F93,H93,J93,L93,N93,P93,R93,T93,V93,X93,Z93,AB93)</f>
        <v>3</v>
      </c>
    </row>
    <row r="94">
      <c r="A94" t="str">
        <v>97110</v>
      </c>
      <c r="B94" t="str">
        <v>Platelet antibody[BPL][กาชาด](ยกเลิกส่งที่ธนาคารเลือด)</v>
      </c>
      <c r="D94">
        <v>3300</v>
      </c>
      <c r="F94">
        <v>0</v>
      </c>
      <c r="H94">
        <v>0</v>
      </c>
      <c r="J94">
        <v>0</v>
      </c>
      <c r="L94">
        <v>0</v>
      </c>
      <c r="N94">
        <v>0</v>
      </c>
      <c r="P94">
        <v>0</v>
      </c>
      <c r="AC94">
        <f>SUM(F94,H94,J94,L94,N94,P94,R94,T94,V94,X94,Z94,AB94)</f>
        <v>0</v>
      </c>
    </row>
    <row r="95">
      <c r="A95" t="str">
        <v>95064</v>
      </c>
      <c r="B95" t="str">
        <v>IgE total</v>
      </c>
      <c r="C95" t="str">
        <v>37350</v>
      </c>
      <c r="D95">
        <v>280</v>
      </c>
      <c r="F95">
        <v>4</v>
      </c>
      <c r="H95">
        <v>3</v>
      </c>
      <c r="J95">
        <v>2</v>
      </c>
      <c r="L95">
        <v>1</v>
      </c>
      <c r="N95">
        <v>0</v>
      </c>
      <c r="P95">
        <v>1</v>
      </c>
      <c r="AC95">
        <f>SUM(F95,H95,J95,L95,N95,P95,R95,T95,V95,X95,Z95,AB95)</f>
        <v>11</v>
      </c>
    </row>
    <row r="96">
      <c r="A96" t="str">
        <v>92356</v>
      </c>
      <c r="B96" t="str">
        <v>ANCA (cANCA(PR3)/pANCA(MPO)) titer (Anti Neutrophil cytoplasmic Ab)</v>
      </c>
      <c r="C96" t="str">
        <v>37015</v>
      </c>
      <c r="D96">
        <v>360</v>
      </c>
      <c r="F96">
        <v>3</v>
      </c>
      <c r="H96">
        <v>2</v>
      </c>
      <c r="J96">
        <v>2</v>
      </c>
      <c r="L96">
        <v>1</v>
      </c>
      <c r="N96">
        <v>4</v>
      </c>
      <c r="P96">
        <v>0</v>
      </c>
      <c r="AC96">
        <f>SUM(F96,H96,J96,L96,N96,P96,R96,T96,V96,X96,Z96,AB96)</f>
        <v>12</v>
      </c>
    </row>
    <row r="97">
      <c r="A97" t="str">
        <v>92150</v>
      </c>
      <c r="B97" t="str">
        <v>Growth hormone (GH)</v>
      </c>
      <c r="C97" t="str">
        <v>32623</v>
      </c>
      <c r="D97">
        <v>210</v>
      </c>
      <c r="F97">
        <v>9</v>
      </c>
      <c r="H97">
        <v>10</v>
      </c>
      <c r="J97">
        <v>4</v>
      </c>
      <c r="L97">
        <v>4</v>
      </c>
      <c r="N97">
        <v>0</v>
      </c>
      <c r="P97">
        <v>2</v>
      </c>
      <c r="AC97">
        <f>SUM(F97,H97,J97,L97,N97,P97,R97,T97,V97,X97,Z97,AB97)</f>
        <v>29</v>
      </c>
    </row>
    <row r="98">
      <c r="A98" t="str">
        <v>97228</v>
      </c>
      <c r="B98" t="str">
        <v>Alcohol (ethanol)</v>
      </c>
      <c r="C98" t="str">
        <v>33901</v>
      </c>
      <c r="D98">
        <v>300</v>
      </c>
      <c r="F98">
        <v>2</v>
      </c>
      <c r="H98">
        <v>2</v>
      </c>
      <c r="J98">
        <v>1</v>
      </c>
      <c r="L98">
        <v>4</v>
      </c>
      <c r="N98">
        <v>0</v>
      </c>
      <c r="P98">
        <v>2</v>
      </c>
      <c r="AC98">
        <f>SUM(F98,H98,J98,L98,N98,P98,R98,T98,V98,X98,Z98,AB98)</f>
        <v>11</v>
      </c>
    </row>
    <row r="99">
      <c r="A99" t="str">
        <v>95035</v>
      </c>
      <c r="B99" t="str">
        <v>Vitamin D2/D3 (25-OH vitamin D2/D3) by HPLC</v>
      </c>
      <c r="C99" t="str">
        <v>32418</v>
      </c>
      <c r="D99">
        <v>1000</v>
      </c>
      <c r="F99">
        <v>3</v>
      </c>
      <c r="H99">
        <v>4</v>
      </c>
      <c r="J99">
        <v>3</v>
      </c>
      <c r="L99">
        <v>3</v>
      </c>
      <c r="N99">
        <v>1</v>
      </c>
      <c r="P99">
        <v>2</v>
      </c>
      <c r="AC99">
        <f>SUM(F99,H99,J99,L99,N99,P99,R99,T99,V99,X99,Z99,AB99)</f>
        <v>16</v>
      </c>
    </row>
    <row r="100">
      <c r="A100" t="str">
        <v>97262</v>
      </c>
      <c r="B100" t="str">
        <v>Flow cytometry : NHL panel (ส่ง รามา)</v>
      </c>
      <c r="D100">
        <v>3500</v>
      </c>
      <c r="F100">
        <v>3</v>
      </c>
      <c r="H100">
        <v>1</v>
      </c>
      <c r="J100">
        <v>1</v>
      </c>
      <c r="L100">
        <v>1</v>
      </c>
      <c r="N100">
        <v>0</v>
      </c>
      <c r="P100">
        <v>0</v>
      </c>
      <c r="AC100">
        <f>SUM(F100,H100,J100,L100,N100,P100,R100,T100,V100,X100,Z100,AB100)</f>
        <v>6</v>
      </c>
    </row>
    <row r="101">
      <c r="A101" t="str">
        <v>97223</v>
      </c>
      <c r="B101" t="str">
        <v>Metanephrine&amp;Normetanephrine (Blood)</v>
      </c>
      <c r="C101" t="str">
        <v>33316</v>
      </c>
      <c r="D101">
        <v>800</v>
      </c>
      <c r="F101">
        <v>1</v>
      </c>
      <c r="H101">
        <v>3</v>
      </c>
      <c r="J101">
        <v>2</v>
      </c>
      <c r="L101">
        <v>2</v>
      </c>
      <c r="N101">
        <v>4</v>
      </c>
      <c r="P101">
        <v>2</v>
      </c>
      <c r="AC101">
        <f>SUM(F101,H101,J101,L101,N101,P101,R101,T101,V101,X101,Z101,AB101)</f>
        <v>14</v>
      </c>
    </row>
    <row r="102">
      <c r="A102" t="str">
        <v>97070</v>
      </c>
      <c r="B102" t="str">
        <v>Myositis profile ( 18 Antibodies )</v>
      </c>
      <c r="D102">
        <v>2950</v>
      </c>
      <c r="F102">
        <v>5</v>
      </c>
      <c r="H102">
        <v>1</v>
      </c>
      <c r="J102">
        <v>2</v>
      </c>
      <c r="L102">
        <v>3</v>
      </c>
      <c r="N102">
        <v>5</v>
      </c>
      <c r="P102">
        <v>2</v>
      </c>
      <c r="AC102">
        <f>SUM(F102,H102,J102,L102,N102,P102,R102,T102,V102,X102,Z102,AB102)</f>
        <v>18</v>
      </c>
    </row>
    <row r="103">
      <c r="A103" t="str">
        <v>92051</v>
      </c>
      <c r="B103" t="str">
        <v>Anti Scl-70</v>
      </c>
      <c r="C103" t="str">
        <v>37011</v>
      </c>
      <c r="D103">
        <v>110</v>
      </c>
      <c r="F103">
        <v>0</v>
      </c>
      <c r="H103">
        <v>0</v>
      </c>
      <c r="J103">
        <v>0</v>
      </c>
      <c r="L103">
        <v>0</v>
      </c>
      <c r="N103">
        <v>2</v>
      </c>
      <c r="P103">
        <v>1</v>
      </c>
      <c r="AC103">
        <f>SUM(F103,H103,J103,L103,N103,P103,R103,T103,V103,X103,Z103,AB103)</f>
        <v>3</v>
      </c>
    </row>
    <row r="104">
      <c r="A104" t="str">
        <v>92197</v>
      </c>
      <c r="B104" t="str">
        <v>Lithium</v>
      </c>
      <c r="C104" t="str">
        <v>33110</v>
      </c>
      <c r="D104">
        <v>300</v>
      </c>
      <c r="F104">
        <v>3</v>
      </c>
      <c r="H104">
        <v>1</v>
      </c>
      <c r="J104">
        <v>3</v>
      </c>
      <c r="L104">
        <v>3</v>
      </c>
      <c r="N104">
        <v>0</v>
      </c>
      <c r="P104">
        <v>1</v>
      </c>
      <c r="AC104">
        <f>SUM(F104,H104,J104,L104,N104,P104,R104,T104,V104,X104,Z104,AB104)</f>
        <v>11</v>
      </c>
    </row>
    <row r="105">
      <c r="A105" t="str">
        <v>92284</v>
      </c>
      <c r="B105" t="str">
        <v>VMA, (24 hr. Urine)</v>
      </c>
      <c r="D105">
        <v>200</v>
      </c>
      <c r="F105">
        <v>0</v>
      </c>
      <c r="H105">
        <v>3</v>
      </c>
      <c r="J105">
        <v>2</v>
      </c>
      <c r="L105">
        <v>0</v>
      </c>
      <c r="N105">
        <v>2</v>
      </c>
      <c r="P105">
        <v>1</v>
      </c>
      <c r="AC105">
        <f>SUM(F105,H105,J105,L105,N105,P105,R105,T105,V105,X105,Z105,AB105)</f>
        <v>8</v>
      </c>
    </row>
    <row r="106">
      <c r="A106" t="str">
        <v>92174</v>
      </c>
      <c r="B106" t="str">
        <v>HIV-1 DNA PCR (qualitative)</v>
      </c>
      <c r="D106">
        <v>1350</v>
      </c>
      <c r="F106">
        <v>0</v>
      </c>
      <c r="H106">
        <v>0</v>
      </c>
      <c r="J106">
        <v>0</v>
      </c>
      <c r="L106">
        <v>0</v>
      </c>
      <c r="N106">
        <v>1</v>
      </c>
      <c r="P106">
        <v>1</v>
      </c>
      <c r="AC106">
        <f>SUM(F106,H106,J106,L106,N106,P106,R106,T106,V106,X106,Z106,AB106)</f>
        <v>2</v>
      </c>
    </row>
    <row r="107">
      <c r="A107" t="str">
        <v>92038</v>
      </c>
      <c r="B107" t="str">
        <v>HAV Ab. , Total (serum)</v>
      </c>
      <c r="D107">
        <v>250</v>
      </c>
      <c r="F107">
        <v>0</v>
      </c>
      <c r="H107">
        <v>0</v>
      </c>
      <c r="J107">
        <v>0</v>
      </c>
      <c r="L107">
        <v>0</v>
      </c>
      <c r="N107">
        <v>0</v>
      </c>
      <c r="P107">
        <v>0</v>
      </c>
      <c r="AC107">
        <f>SUM(F107,H107,J107,L107,N107,P107,R107,T107,V107,X107,Z107,AB107)</f>
        <v>0</v>
      </c>
    </row>
    <row r="108">
      <c r="A108" t="str">
        <v>93017</v>
      </c>
      <c r="B108" t="str">
        <v>Leukemia - RT-PCR for BCR/ABL [BPL]</v>
      </c>
      <c r="D108">
        <v>1200</v>
      </c>
      <c r="F108">
        <v>1</v>
      </c>
      <c r="H108">
        <v>2</v>
      </c>
      <c r="J108">
        <v>0</v>
      </c>
      <c r="L108">
        <v>0</v>
      </c>
      <c r="N108">
        <v>1</v>
      </c>
      <c r="P108">
        <v>2</v>
      </c>
      <c r="AC108">
        <f>SUM(F108,H108,J108,L108,N108,P108,R108,T108,V108,X108,Z108,AB108)</f>
        <v>6</v>
      </c>
    </row>
    <row r="109">
      <c r="A109" t="str">
        <v>92142</v>
      </c>
      <c r="B109" t="str">
        <v>FTA-Abs., IgG (serum)</v>
      </c>
      <c r="C109" t="str">
        <v>36004</v>
      </c>
      <c r="D109">
        <v>160</v>
      </c>
      <c r="F109">
        <v>1</v>
      </c>
      <c r="H109">
        <v>2</v>
      </c>
      <c r="J109">
        <v>3</v>
      </c>
      <c r="L109">
        <v>0</v>
      </c>
      <c r="N109">
        <v>0</v>
      </c>
      <c r="P109">
        <v>0</v>
      </c>
      <c r="AC109">
        <f>SUM(F109,H109,J109,L109,N109,P109,R109,T109,V109,X109,Z109,AB109)</f>
        <v>6</v>
      </c>
    </row>
    <row r="110">
      <c r="A110" t="str">
        <v>92363</v>
      </c>
      <c r="B110" t="str">
        <v>B2 microglobulin</v>
      </c>
      <c r="C110" t="str">
        <v>37304</v>
      </c>
      <c r="D110">
        <v>320</v>
      </c>
      <c r="F110">
        <v>2</v>
      </c>
      <c r="H110">
        <v>4</v>
      </c>
      <c r="J110">
        <v>1</v>
      </c>
      <c r="L110">
        <v>3</v>
      </c>
      <c r="N110">
        <v>0</v>
      </c>
      <c r="P110">
        <v>0</v>
      </c>
      <c r="AC110">
        <f>SUM(F110,H110,J110,L110,N110,P110,R110,T110,V110,X110,Z110,AB110)</f>
        <v>10</v>
      </c>
    </row>
    <row r="111">
      <c r="A111" t="str">
        <v>98053</v>
      </c>
      <c r="B111" t="str">
        <v>Screening for Basic drugs and Drug Abuse (ส่งศิริราช เฉพาะหน่วยงานนิติเวช)</v>
      </c>
      <c r="D111">
        <v>2800</v>
      </c>
      <c r="F111">
        <v>1</v>
      </c>
      <c r="H111">
        <v>3</v>
      </c>
      <c r="J111">
        <v>1</v>
      </c>
      <c r="L111">
        <v>2</v>
      </c>
      <c r="N111">
        <v>1</v>
      </c>
      <c r="P111">
        <v>1</v>
      </c>
      <c r="AC111">
        <f>SUM(F111,H111,J111,L111,N111,P111,R111,T111,V111,X111,Z111,AB111)</f>
        <v>9</v>
      </c>
    </row>
    <row r="112">
      <c r="A112" t="str">
        <v>92296</v>
      </c>
      <c r="B112" t="str">
        <v>Neuron Specific Enolase (NSE)</v>
      </c>
      <c r="C112" t="str">
        <v>37313</v>
      </c>
      <c r="D112">
        <v>375</v>
      </c>
      <c r="F112">
        <v>0</v>
      </c>
      <c r="H112">
        <v>2</v>
      </c>
      <c r="J112">
        <v>1</v>
      </c>
      <c r="L112">
        <v>1</v>
      </c>
      <c r="N112">
        <v>1</v>
      </c>
      <c r="P112">
        <v>0</v>
      </c>
      <c r="AC112">
        <f>SUM(F112,H112,J112,L112,N112,P112,R112,T112,V112,X112,Z112,AB112)</f>
        <v>5</v>
      </c>
    </row>
    <row r="113">
      <c r="A113" t="str">
        <v>92358</v>
      </c>
      <c r="B113" t="str">
        <v>TORCH</v>
      </c>
      <c r="D113">
        <v>900</v>
      </c>
      <c r="F113">
        <v>2</v>
      </c>
      <c r="H113">
        <v>0</v>
      </c>
      <c r="J113">
        <v>3</v>
      </c>
      <c r="L113">
        <v>2</v>
      </c>
      <c r="N113">
        <v>0</v>
      </c>
      <c r="P113">
        <v>4</v>
      </c>
      <c r="AC113">
        <f>SUM(F113,H113,J113,L113,N113,P113,R113,T113,V113,X113,Z113,AB113)</f>
        <v>11</v>
      </c>
    </row>
    <row r="114">
      <c r="A114" t="str">
        <v>92182</v>
      </c>
      <c r="B114" t="str">
        <v>IgM (Immunoglobulin) Level</v>
      </c>
      <c r="C114" t="str">
        <v>37206</v>
      </c>
      <c r="D114">
        <v>252</v>
      </c>
      <c r="F114">
        <v>3</v>
      </c>
      <c r="H114">
        <v>5</v>
      </c>
      <c r="J114">
        <v>2</v>
      </c>
      <c r="L114">
        <v>0</v>
      </c>
      <c r="N114">
        <v>0</v>
      </c>
      <c r="P114">
        <v>1</v>
      </c>
      <c r="AC114">
        <f>SUM(F114,H114,J114,L114,N114,P114,R114,T114,V114,X114,Z114,AB114)</f>
        <v>11</v>
      </c>
    </row>
    <row r="115">
      <c r="A115" t="str">
        <v>97178</v>
      </c>
      <c r="B115" t="str">
        <v>Anti Mullerian hormone (AMH)</v>
      </c>
      <c r="D115">
        <v>2000</v>
      </c>
      <c r="F115">
        <v>1</v>
      </c>
      <c r="H115">
        <v>1</v>
      </c>
      <c r="J115">
        <v>0</v>
      </c>
      <c r="L115">
        <v>0</v>
      </c>
      <c r="N115">
        <v>1</v>
      </c>
      <c r="P115">
        <v>3</v>
      </c>
      <c r="AC115">
        <f>SUM(F115,H115,J115,L115,N115,P115,R115,T115,V115,X115,Z115,AB115)</f>
        <v>6</v>
      </c>
    </row>
    <row r="116">
      <c r="A116" t="str">
        <v>92179</v>
      </c>
      <c r="B116" t="str">
        <v>Immunoelectrophoresis</v>
      </c>
      <c r="C116" t="str">
        <v>32006</v>
      </c>
      <c r="D116">
        <v>193</v>
      </c>
      <c r="F116">
        <v>1</v>
      </c>
      <c r="H116">
        <v>2</v>
      </c>
      <c r="J116">
        <v>0</v>
      </c>
      <c r="L116">
        <v>4</v>
      </c>
      <c r="N116">
        <v>0</v>
      </c>
      <c r="P116">
        <v>1</v>
      </c>
      <c r="AC116">
        <f>SUM(F116,H116,J116,L116,N116,P116,R116,T116,V116,X116,Z116,AB116)</f>
        <v>8</v>
      </c>
    </row>
    <row r="117">
      <c r="A117" t="str">
        <v>92234</v>
      </c>
      <c r="B117" t="str">
        <v>Dengue, PCR (Qualitative)</v>
      </c>
      <c r="C117" t="str">
        <v>36613</v>
      </c>
      <c r="D117">
        <v>675</v>
      </c>
      <c r="F117">
        <v>0</v>
      </c>
      <c r="H117">
        <v>0</v>
      </c>
      <c r="J117">
        <v>0</v>
      </c>
      <c r="L117">
        <v>0</v>
      </c>
      <c r="N117">
        <v>0</v>
      </c>
      <c r="P117">
        <v>0</v>
      </c>
      <c r="AC117">
        <f>SUM(F117,H117,J117,L117,N117,P117,R117,T117,V117,X117,Z117,AB117)</f>
        <v>0</v>
      </c>
    </row>
    <row r="118">
      <c r="A118" t="str">
        <v>92210</v>
      </c>
      <c r="B118" t="str">
        <v>Metanephrine &amp; Normetanephrine ( Urine 24 ชัวโมง )</v>
      </c>
      <c r="D118">
        <v>720</v>
      </c>
      <c r="F118">
        <v>0</v>
      </c>
      <c r="H118">
        <v>0</v>
      </c>
      <c r="J118">
        <v>1</v>
      </c>
      <c r="L118">
        <v>1</v>
      </c>
      <c r="N118">
        <v>0</v>
      </c>
      <c r="P118">
        <v>0</v>
      </c>
      <c r="AC118">
        <f>SUM(F118,H118,J118,L118,N118,P118,R118,T118,V118,X118,Z118,AB118)</f>
        <v>2</v>
      </c>
    </row>
    <row r="119">
      <c r="A119" t="str">
        <v>97092</v>
      </c>
      <c r="B119" t="str">
        <v>Vitamin C</v>
      </c>
      <c r="C119" t="str">
        <v>32412</v>
      </c>
      <c r="D119">
        <v>240</v>
      </c>
      <c r="F119">
        <v>0</v>
      </c>
      <c r="H119">
        <v>0</v>
      </c>
      <c r="J119">
        <v>1</v>
      </c>
      <c r="L119">
        <v>0</v>
      </c>
      <c r="N119">
        <v>0</v>
      </c>
      <c r="P119">
        <v>0</v>
      </c>
      <c r="AC119">
        <f>SUM(F119,H119,J119,L119,N119,P119,R119,T119,V119,X119,Z119,AB119)</f>
        <v>1</v>
      </c>
    </row>
    <row r="120">
      <c r="A120" t="str">
        <v>92000</v>
      </c>
      <c r="B120" t="str">
        <v>17-Hydroxy Progesterone</v>
      </c>
      <c r="C120" t="str">
        <v>32606</v>
      </c>
      <c r="D120">
        <v>500</v>
      </c>
      <c r="F120">
        <v>4</v>
      </c>
      <c r="H120">
        <v>0</v>
      </c>
      <c r="J120">
        <v>1</v>
      </c>
      <c r="L120">
        <v>3</v>
      </c>
      <c r="N120">
        <v>2</v>
      </c>
      <c r="P120">
        <v>2</v>
      </c>
      <c r="AC120">
        <f>SUM(F120,H120,J120,L120,N120,P120,R120,T120,V120,X120,Z120,AB120)</f>
        <v>12</v>
      </c>
    </row>
    <row r="121">
      <c r="A121" t="str">
        <v>97169</v>
      </c>
      <c r="B121" t="str">
        <v>BCR-ABL (p210) Mutation detection by direct sequencing</v>
      </c>
      <c r="D121">
        <v>2000</v>
      </c>
      <c r="F121">
        <v>2</v>
      </c>
      <c r="H121">
        <v>2</v>
      </c>
      <c r="J121">
        <v>1</v>
      </c>
      <c r="L121">
        <v>0</v>
      </c>
      <c r="N121">
        <v>0</v>
      </c>
      <c r="P121">
        <v>1</v>
      </c>
      <c r="AC121">
        <f>SUM(F121,H121,J121,L121,N121,P121,R121,T121,V121,X121,Z121,AB121)</f>
        <v>6</v>
      </c>
    </row>
    <row r="122">
      <c r="A122" t="str">
        <v>92298</v>
      </c>
      <c r="B122" t="str">
        <v>IGF-BP3 (Insulin life growth factor binding protein 3)</v>
      </c>
      <c r="C122" t="str">
        <v>32627</v>
      </c>
      <c r="D122">
        <v>480</v>
      </c>
      <c r="F122">
        <v>9</v>
      </c>
      <c r="H122">
        <v>2</v>
      </c>
      <c r="J122">
        <v>2</v>
      </c>
      <c r="L122">
        <v>6</v>
      </c>
      <c r="N122">
        <v>5</v>
      </c>
      <c r="P122">
        <v>5</v>
      </c>
      <c r="AC122">
        <f>SUM(F122,H122,J122,L122,N122,P122,R122,T122,V122,X122,Z122,AB122)</f>
        <v>29</v>
      </c>
    </row>
    <row r="123">
      <c r="A123" t="str">
        <v>97221</v>
      </c>
      <c r="B123" t="str">
        <v>Xylene (Methyl Hippuric Acid)</v>
      </c>
      <c r="D123">
        <v>72</v>
      </c>
      <c r="F123">
        <v>0</v>
      </c>
      <c r="H123">
        <v>0</v>
      </c>
      <c r="J123">
        <v>0</v>
      </c>
      <c r="L123">
        <v>0</v>
      </c>
      <c r="N123">
        <v>0</v>
      </c>
      <c r="P123">
        <v>0</v>
      </c>
      <c r="AC123">
        <f>SUM(F123,H123,J123,L123,N123,P123,R123,T123,V123,X123,Z123,AB123)</f>
        <v>0</v>
      </c>
    </row>
    <row r="124">
      <c r="A124" t="str">
        <v>97206</v>
      </c>
      <c r="B124" t="str">
        <v>chikungunya virus Ab,IgM titer (BPL)</v>
      </c>
      <c r="D124">
        <v>225</v>
      </c>
      <c r="F124">
        <v>1</v>
      </c>
      <c r="H124">
        <v>0</v>
      </c>
      <c r="J124">
        <v>5</v>
      </c>
      <c r="L124">
        <v>0</v>
      </c>
      <c r="N124">
        <v>1</v>
      </c>
      <c r="P124">
        <v>1</v>
      </c>
      <c r="AC124">
        <f>SUM(F124,H124,J124,L124,N124,P124,R124,T124,V124,X124,Z124,AB124)</f>
        <v>8</v>
      </c>
    </row>
    <row r="125">
      <c r="A125" t="str">
        <v>97164</v>
      </c>
      <c r="B125" t="str">
        <v>Anti-MOG-Serum</v>
      </c>
      <c r="D125">
        <v>1300</v>
      </c>
      <c r="F125">
        <v>2</v>
      </c>
      <c r="H125">
        <v>0</v>
      </c>
      <c r="J125">
        <v>1</v>
      </c>
      <c r="L125">
        <v>2</v>
      </c>
      <c r="N125">
        <v>0</v>
      </c>
      <c r="P125">
        <v>1</v>
      </c>
      <c r="AC125">
        <f>SUM(F125,H125,J125,L125,N125,P125,R125,T125,V125,X125,Z125,AB125)</f>
        <v>6</v>
      </c>
    </row>
    <row r="126">
      <c r="A126" t="str">
        <v>92180</v>
      </c>
      <c r="B126" t="str">
        <v>IgA (Immunoglobulin) Level</v>
      </c>
      <c r="C126" t="str">
        <v>37205</v>
      </c>
      <c r="D126">
        <v>189</v>
      </c>
      <c r="F126">
        <v>3</v>
      </c>
      <c r="H126">
        <v>4</v>
      </c>
      <c r="J126">
        <v>2</v>
      </c>
      <c r="L126">
        <v>0</v>
      </c>
      <c r="N126">
        <v>0</v>
      </c>
      <c r="P126">
        <v>1</v>
      </c>
      <c r="AC126">
        <f>SUM(F126,H126,J126,L126,N126,P126,R126,T126,V126,X126,Z126,AB126)</f>
        <v>10</v>
      </c>
    </row>
    <row r="127">
      <c r="A127" t="str">
        <v>97023</v>
      </c>
      <c r="B127" t="str">
        <v>Urine Free Cortisol</v>
      </c>
      <c r="D127">
        <v>240</v>
      </c>
      <c r="F127">
        <v>0</v>
      </c>
      <c r="H127">
        <v>0</v>
      </c>
      <c r="J127">
        <v>0</v>
      </c>
      <c r="L127">
        <v>2</v>
      </c>
      <c r="N127">
        <v>2</v>
      </c>
      <c r="P127">
        <v>0</v>
      </c>
      <c r="AC127">
        <f>SUM(F127,H127,J127,L127,N127,P127,R127,T127,V127,X127,Z127,AB127)</f>
        <v>4</v>
      </c>
    </row>
    <row r="128">
      <c r="A128" t="str">
        <v>97151</v>
      </c>
      <c r="B128" t="str">
        <v>HLA-B*15:02 (กลุ่มยา)</v>
      </c>
      <c r="C128" t="str">
        <v>30621</v>
      </c>
      <c r="D128">
        <v>500</v>
      </c>
      <c r="F128">
        <v>0</v>
      </c>
      <c r="H128">
        <v>0</v>
      </c>
      <c r="J128">
        <v>0</v>
      </c>
      <c r="L128">
        <v>0</v>
      </c>
      <c r="N128">
        <v>0</v>
      </c>
      <c r="P128">
        <v>0</v>
      </c>
      <c r="AC128">
        <f>SUM(F128,H128,J128,L128,N128,P128,R128,T128,V128,X128,Z128,AB128)</f>
        <v>0</v>
      </c>
    </row>
    <row r="129">
      <c r="A129" t="str">
        <v>97112</v>
      </c>
      <c r="B129" t="str">
        <v>Dihydrotestosterone (DHT)</v>
      </c>
      <c r="D129">
        <v>2000</v>
      </c>
      <c r="F129">
        <v>0</v>
      </c>
      <c r="H129">
        <v>0</v>
      </c>
      <c r="J129">
        <v>0</v>
      </c>
      <c r="L129">
        <v>2</v>
      </c>
      <c r="N129">
        <v>2</v>
      </c>
      <c r="P129">
        <v>0</v>
      </c>
      <c r="AC129">
        <f>SUM(F129,H129,J129,L129,N129,P129,R129,T129,V129,X129,Z129,AB129)</f>
        <v>4</v>
      </c>
    </row>
    <row r="130">
      <c r="A130" t="str">
        <v>97242</v>
      </c>
      <c r="B130" t="str">
        <v>JAK2 exon12 F537-K539delinsL mutation</v>
      </c>
      <c r="D130">
        <v>2150</v>
      </c>
      <c r="F130">
        <v>0</v>
      </c>
      <c r="H130">
        <v>0</v>
      </c>
      <c r="J130">
        <v>0</v>
      </c>
      <c r="L130">
        <v>0</v>
      </c>
      <c r="N130">
        <v>0</v>
      </c>
      <c r="P130">
        <v>0</v>
      </c>
      <c r="AC130">
        <f>SUM(F130,H130,J130,L130,N130,P130,R130,T130,V130,X130,Z130,AB130)</f>
        <v>0</v>
      </c>
    </row>
    <row r="131">
      <c r="A131" t="str">
        <v>97016</v>
      </c>
      <c r="B131" t="str">
        <v>Anti-factor Xa assay (ให้ระบุตัวยาที่ใช้ด้วยคือ.................................)</v>
      </c>
      <c r="D131">
        <v>380</v>
      </c>
      <c r="F131">
        <v>3</v>
      </c>
      <c r="H131">
        <v>1</v>
      </c>
      <c r="J131">
        <v>1</v>
      </c>
      <c r="L131">
        <v>1</v>
      </c>
      <c r="N131">
        <v>1</v>
      </c>
      <c r="P131">
        <v>5</v>
      </c>
      <c r="AC131">
        <f>SUM(F131,H131,J131,L131,N131,P131,R131,T131,V131,X131,Z131,AB131)</f>
        <v>12</v>
      </c>
    </row>
    <row r="132">
      <c r="A132" t="str">
        <v>92129</v>
      </c>
      <c r="B132" t="str">
        <v>Factor IX-inhibitor assay (Quantitative )</v>
      </c>
      <c r="C132" t="str">
        <v>30222</v>
      </c>
      <c r="D132">
        <v>790</v>
      </c>
      <c r="F132">
        <v>2</v>
      </c>
      <c r="H132">
        <v>1</v>
      </c>
      <c r="J132">
        <v>2</v>
      </c>
      <c r="L132">
        <v>0</v>
      </c>
      <c r="N132">
        <v>1</v>
      </c>
      <c r="P132">
        <v>2</v>
      </c>
      <c r="AC132">
        <f>SUM(F132,H132,J132,L132,N132,P132,R132,T132,V132,X132,Z132,AB132)</f>
        <v>8</v>
      </c>
    </row>
    <row r="133">
      <c r="A133" t="str">
        <v>98034</v>
      </c>
      <c r="B133" t="str">
        <v>Bacteria molecular identification</v>
      </c>
      <c r="C133" t="str">
        <v>35240</v>
      </c>
      <c r="D133">
        <v>2375</v>
      </c>
      <c r="F133">
        <v>1</v>
      </c>
      <c r="H133">
        <v>1</v>
      </c>
      <c r="J133">
        <v>0</v>
      </c>
      <c r="L133">
        <v>0</v>
      </c>
      <c r="N133">
        <v>0</v>
      </c>
      <c r="P133">
        <v>1</v>
      </c>
      <c r="AC133">
        <f>SUM(F133,H133,J133,L133,N133,P133,R133,T133,V133,X133,Z133,AB133)</f>
        <v>3</v>
      </c>
    </row>
    <row r="134">
      <c r="A134" t="str">
        <v>95083</v>
      </c>
      <c r="B134" t="str">
        <v>CMV Viral load (specified)</v>
      </c>
      <c r="C134" t="str">
        <v>36443</v>
      </c>
      <c r="D134">
        <v>1540</v>
      </c>
      <c r="F134">
        <v>0</v>
      </c>
      <c r="H134">
        <v>0</v>
      </c>
      <c r="J134">
        <v>0</v>
      </c>
      <c r="L134">
        <v>1</v>
      </c>
      <c r="N134">
        <v>0</v>
      </c>
      <c r="P134">
        <v>0</v>
      </c>
      <c r="AC134">
        <f>SUM(F134,H134,J134,L134,N134,P134,R134,T134,V134,X134,Z134,AB134)</f>
        <v>1</v>
      </c>
    </row>
    <row r="135">
      <c r="A135" t="str">
        <v>92285</v>
      </c>
      <c r="B135" t="str">
        <v>Von Willebrand factor (Antigen)</v>
      </c>
      <c r="D135">
        <v>320</v>
      </c>
      <c r="F135">
        <v>0</v>
      </c>
      <c r="H135">
        <v>1</v>
      </c>
      <c r="J135">
        <v>1</v>
      </c>
      <c r="L135">
        <v>2</v>
      </c>
      <c r="N135">
        <v>0</v>
      </c>
      <c r="P135">
        <v>0</v>
      </c>
      <c r="AC135">
        <f>SUM(F135,H135,J135,L135,N135,P135,R135,T135,V135,X135,Z135,AB135)</f>
        <v>4</v>
      </c>
    </row>
    <row r="136">
      <c r="A136" t="str">
        <v>92042</v>
      </c>
      <c r="B136" t="str">
        <v>VZV Ab.,(Herpes zoster) IgM (serum)</v>
      </c>
      <c r="C136" t="str">
        <v>36420</v>
      </c>
      <c r="D136">
        <v>300</v>
      </c>
      <c r="F136">
        <v>3</v>
      </c>
      <c r="H136">
        <v>0</v>
      </c>
      <c r="J136">
        <v>2</v>
      </c>
      <c r="L136">
        <v>2</v>
      </c>
      <c r="N136">
        <v>6</v>
      </c>
      <c r="P136">
        <v>4</v>
      </c>
      <c r="AC136">
        <f>SUM(F136,H136,J136,L136,N136,P136,R136,T136,V136,X136,Z136,AB136)</f>
        <v>17</v>
      </c>
    </row>
    <row r="137">
      <c r="A137" t="str">
        <v>95036</v>
      </c>
      <c r="B137" t="str">
        <v>IgG4</v>
      </c>
      <c r="D137">
        <v>500</v>
      </c>
      <c r="F137">
        <v>3</v>
      </c>
      <c r="H137">
        <v>2</v>
      </c>
      <c r="J137">
        <v>0</v>
      </c>
      <c r="L137">
        <v>2</v>
      </c>
      <c r="N137">
        <v>0</v>
      </c>
      <c r="P137">
        <v>2</v>
      </c>
      <c r="AC137">
        <f>SUM(F137,H137,J137,L137,N137,P137,R137,T137,V137,X137,Z137,AB137)</f>
        <v>9</v>
      </c>
    </row>
    <row r="138">
      <c r="A138" t="str">
        <v>92085</v>
      </c>
      <c r="B138" t="str">
        <v>Chikungunya Virus Ab., IgG (BPL)</v>
      </c>
      <c r="D138">
        <v>200</v>
      </c>
      <c r="F138">
        <v>1</v>
      </c>
      <c r="H138">
        <v>0</v>
      </c>
      <c r="J138">
        <v>1</v>
      </c>
      <c r="L138">
        <v>0</v>
      </c>
      <c r="N138">
        <v>1</v>
      </c>
      <c r="P138">
        <v>1</v>
      </c>
      <c r="AC138">
        <f>SUM(F138,H138,J138,L138,N138,P138,R138,T138,V138,X138,Z138,AB138)</f>
        <v>4</v>
      </c>
    </row>
    <row r="139">
      <c r="A139" t="str">
        <v>97161</v>
      </c>
      <c r="B139" t="str">
        <v>Neuromyelitis Optica (NMO-IgG)- CSF</v>
      </c>
      <c r="D139">
        <v>800</v>
      </c>
      <c r="F139">
        <v>0</v>
      </c>
      <c r="H139">
        <v>0</v>
      </c>
      <c r="J139">
        <v>0</v>
      </c>
      <c r="L139">
        <v>0</v>
      </c>
      <c r="N139">
        <v>1</v>
      </c>
      <c r="P139">
        <v>0</v>
      </c>
      <c r="AC139">
        <f>SUM(F139,H139,J139,L139,N139,P139,R139,T139,V139,X139,Z139,AB139)</f>
        <v>1</v>
      </c>
    </row>
    <row r="140">
      <c r="A140" t="str">
        <v>95030</v>
      </c>
      <c r="B140" t="str">
        <v>CRP-High Sensitivity ( HS-CRP )</v>
      </c>
      <c r="C140" t="str">
        <v>37103</v>
      </c>
      <c r="D140">
        <v>130</v>
      </c>
      <c r="F140">
        <v>2</v>
      </c>
      <c r="H140">
        <v>1</v>
      </c>
      <c r="J140">
        <v>0</v>
      </c>
      <c r="L140">
        <v>2</v>
      </c>
      <c r="N140">
        <v>1</v>
      </c>
      <c r="P140">
        <v>0</v>
      </c>
      <c r="AC140">
        <f>SUM(F140,H140,J140,L140,N140,P140,R140,T140,V140,X140,Z140,AB140)</f>
        <v>6</v>
      </c>
    </row>
    <row r="141">
      <c r="A141" t="str">
        <v>92300</v>
      </c>
      <c r="B141" t="str">
        <v>Parvo virus B19 Ab, IgM [BPL][RAMA]</v>
      </c>
      <c r="C141" t="str">
        <v>36680</v>
      </c>
      <c r="D141">
        <v>285</v>
      </c>
      <c r="F141">
        <v>1</v>
      </c>
      <c r="H141">
        <v>1</v>
      </c>
      <c r="J141">
        <v>4</v>
      </c>
      <c r="L141">
        <v>0</v>
      </c>
      <c r="N141">
        <v>0</v>
      </c>
      <c r="P141">
        <v>2</v>
      </c>
      <c r="AC141">
        <f>SUM(F141,H141,J141,L141,N141,P141,R141,T141,V141,X141,Z141,AB141)</f>
        <v>8</v>
      </c>
    </row>
    <row r="142">
      <c r="A142" t="str">
        <v>97009</v>
      </c>
      <c r="B142" t="str">
        <v>Lipoprotein(a)</v>
      </c>
      <c r="C142" t="str">
        <v>32507</v>
      </c>
      <c r="D142">
        <v>250</v>
      </c>
      <c r="F142">
        <v>0</v>
      </c>
      <c r="H142">
        <v>0</v>
      </c>
      <c r="J142">
        <v>0</v>
      </c>
      <c r="L142">
        <v>1</v>
      </c>
      <c r="N142">
        <v>2</v>
      </c>
      <c r="P142">
        <v>0</v>
      </c>
      <c r="AC142">
        <f>SUM(F142,H142,J142,L142,N142,P142,R142,T142,V142,X142,Z142,AB142)</f>
        <v>3</v>
      </c>
    </row>
    <row r="143">
      <c r="A143" t="str">
        <v>97114</v>
      </c>
      <c r="B143" t="str">
        <v>Leukemia-RT-PCR for PML/RARA [BPL]</v>
      </c>
      <c r="D143">
        <v>1100</v>
      </c>
      <c r="F143">
        <v>1</v>
      </c>
      <c r="H143">
        <v>0</v>
      </c>
      <c r="J143">
        <v>2</v>
      </c>
      <c r="L143">
        <v>6</v>
      </c>
      <c r="N143">
        <v>0</v>
      </c>
      <c r="P143">
        <v>2</v>
      </c>
      <c r="AC143">
        <f>SUM(F143,H143,J143,L143,N143,P143,R143,T143,V143,X143,Z143,AB143)</f>
        <v>11</v>
      </c>
    </row>
    <row r="144">
      <c r="A144" t="str">
        <v>97224</v>
      </c>
      <c r="B144" t="str">
        <v>Von Willebrand Factor (Ristocetin cofactor activity)</v>
      </c>
      <c r="D144">
        <v>250</v>
      </c>
      <c r="F144">
        <v>0</v>
      </c>
      <c r="H144">
        <v>1</v>
      </c>
      <c r="J144">
        <v>1</v>
      </c>
      <c r="L144">
        <v>1</v>
      </c>
      <c r="N144">
        <v>0</v>
      </c>
      <c r="P144">
        <v>0</v>
      </c>
      <c r="AC144">
        <f>SUM(F144,H144,J144,L144,N144,P144,R144,T144,V144,X144,Z144,AB144)</f>
        <v>3</v>
      </c>
    </row>
    <row r="145">
      <c r="A145" t="str">
        <v>97230</v>
      </c>
      <c r="B145" t="str">
        <v>Leukemia-Jak 2 V617F mutation(Bone marrow)</v>
      </c>
      <c r="D145">
        <v>1016</v>
      </c>
      <c r="F145">
        <v>2</v>
      </c>
      <c r="H145">
        <v>3</v>
      </c>
      <c r="J145">
        <v>3</v>
      </c>
      <c r="L145">
        <v>2</v>
      </c>
      <c r="N145">
        <v>2</v>
      </c>
      <c r="P145">
        <v>0</v>
      </c>
      <c r="AC145">
        <f>SUM(F145,H145,J145,L145,N145,P145,R145,T145,V145,X145,Z145,AB145)</f>
        <v>12</v>
      </c>
    </row>
    <row r="146">
      <c r="A146" t="str">
        <v>97244</v>
      </c>
      <c r="B146" t="str">
        <v>JAK2 exon12 K539L mutation</v>
      </c>
      <c r="D146">
        <v>2150</v>
      </c>
      <c r="F146">
        <v>0</v>
      </c>
      <c r="H146">
        <v>0</v>
      </c>
      <c r="J146">
        <v>0</v>
      </c>
      <c r="L146">
        <v>0</v>
      </c>
      <c r="N146">
        <v>0</v>
      </c>
      <c r="P146">
        <v>0</v>
      </c>
      <c r="AC146">
        <f>SUM(F146,H146,J146,L146,N146,P146,R146,T146,V146,X146,Z146,AB146)</f>
        <v>0</v>
      </c>
    </row>
    <row r="147">
      <c r="A147" t="str">
        <v>92084</v>
      </c>
      <c r="B147" t="str">
        <v>CH50</v>
      </c>
      <c r="D147">
        <v>120</v>
      </c>
      <c r="F147">
        <v>0</v>
      </c>
      <c r="H147">
        <v>0</v>
      </c>
      <c r="J147">
        <v>1</v>
      </c>
      <c r="L147">
        <v>1</v>
      </c>
      <c r="N147">
        <v>1</v>
      </c>
      <c r="P147">
        <v>0</v>
      </c>
      <c r="AC147">
        <f>SUM(F147,H147,J147,L147,N147,P147,R147,T147,V147,X147,Z147,AB147)</f>
        <v>3</v>
      </c>
    </row>
    <row r="148">
      <c r="A148" t="str">
        <v>97139</v>
      </c>
      <c r="B148" t="str">
        <v>Autoimmune encephalopathy-Serum (BPL)(สถาบันประสาทฯ)</v>
      </c>
      <c r="D148">
        <v>3500</v>
      </c>
      <c r="F148">
        <v>1</v>
      </c>
      <c r="H148">
        <v>0</v>
      </c>
      <c r="J148">
        <v>0</v>
      </c>
      <c r="L148">
        <v>1</v>
      </c>
      <c r="N148">
        <v>2</v>
      </c>
      <c r="P148">
        <v>1</v>
      </c>
      <c r="AC148">
        <f>SUM(F148,H148,J148,L148,N148,P148,R148,T148,V148,X148,Z148,AB148)</f>
        <v>5</v>
      </c>
    </row>
    <row r="149">
      <c r="A149" t="str">
        <v>97066</v>
      </c>
      <c r="B149" t="str">
        <v>Bence Jones Protein</v>
      </c>
      <c r="C149" t="str">
        <v>31102</v>
      </c>
      <c r="D149">
        <v>50</v>
      </c>
      <c r="F149">
        <v>0</v>
      </c>
      <c r="H149">
        <v>0</v>
      </c>
      <c r="J149">
        <v>1</v>
      </c>
      <c r="L149">
        <v>1</v>
      </c>
      <c r="N149">
        <v>0</v>
      </c>
      <c r="P149">
        <v>1</v>
      </c>
      <c r="AC149">
        <f>SUM(F149,H149,J149,L149,N149,P149,R149,T149,V149,X149,Z149,AB149)</f>
        <v>3</v>
      </c>
    </row>
    <row r="150">
      <c r="A150" t="str">
        <v>97263</v>
      </c>
      <c r="B150" t="str">
        <v>Myositis profile 4</v>
      </c>
      <c r="D150">
        <v>2800</v>
      </c>
      <c r="F150">
        <v>0</v>
      </c>
      <c r="H150">
        <v>0</v>
      </c>
      <c r="J150">
        <v>0</v>
      </c>
      <c r="L150">
        <v>0</v>
      </c>
      <c r="N150">
        <v>0</v>
      </c>
      <c r="P150">
        <v>0</v>
      </c>
      <c r="AC150">
        <f>SUM(F150,H150,J150,L150,N150,P150,R150,T150,V150,X150,Z150,AB150)</f>
        <v>0</v>
      </c>
    </row>
    <row r="151">
      <c r="A151" t="str">
        <v>97220</v>
      </c>
      <c r="B151" t="str">
        <v>Mono specific Ab IgG,C3d (ยกเลิก)</v>
      </c>
      <c r="D151">
        <v>600</v>
      </c>
      <c r="F151">
        <v>0</v>
      </c>
      <c r="H151">
        <v>0</v>
      </c>
      <c r="J151">
        <v>0</v>
      </c>
      <c r="L151">
        <v>0</v>
      </c>
      <c r="N151">
        <v>0</v>
      </c>
      <c r="P151">
        <v>0</v>
      </c>
      <c r="AC151">
        <f>SUM(F151,H151,J151,L151,N151,P151,R151,T151,V151,X151,Z151,AB151)</f>
        <v>0</v>
      </c>
    </row>
    <row r="152">
      <c r="A152" t="str">
        <v>98062</v>
      </c>
      <c r="B152" t="str">
        <v>Anti cardiolipin IgA</v>
      </c>
      <c r="C152" t="str">
        <v>37020</v>
      </c>
      <c r="D152">
        <v>300</v>
      </c>
      <c r="F152">
        <v>1</v>
      </c>
      <c r="H152">
        <v>0</v>
      </c>
      <c r="J152">
        <v>0</v>
      </c>
      <c r="L152">
        <v>1</v>
      </c>
      <c r="N152">
        <v>0</v>
      </c>
      <c r="P152">
        <v>0</v>
      </c>
      <c r="AC152">
        <f>SUM(F152,H152,J152,L152,N152,P152,R152,T152,V152,X152,Z152,AB152)</f>
        <v>2</v>
      </c>
    </row>
    <row r="153">
      <c r="A153" t="str">
        <v>97200</v>
      </c>
      <c r="B153" t="str">
        <v>Specific IgE to Omega-5 Gliadin</v>
      </c>
      <c r="D153">
        <v>1200</v>
      </c>
      <c r="F153">
        <v>0</v>
      </c>
      <c r="H153">
        <v>0</v>
      </c>
      <c r="J153">
        <v>1</v>
      </c>
      <c r="L153">
        <v>1</v>
      </c>
      <c r="N153">
        <v>0</v>
      </c>
      <c r="P153">
        <v>0</v>
      </c>
      <c r="AC153">
        <f>SUM(F153,H153,J153,L153,N153,P153,R153,T153,V153,X153,Z153,AB153)</f>
        <v>2</v>
      </c>
    </row>
    <row r="154">
      <c r="A154" t="str">
        <v>97243</v>
      </c>
      <c r="B154" t="str">
        <v>JAK2 exon12 H538QK539L mutation</v>
      </c>
      <c r="D154">
        <v>2150</v>
      </c>
      <c r="F154">
        <v>0</v>
      </c>
      <c r="H154">
        <v>0</v>
      </c>
      <c r="J154">
        <v>0</v>
      </c>
      <c r="L154">
        <v>0</v>
      </c>
      <c r="N154">
        <v>0</v>
      </c>
      <c r="P154">
        <v>0</v>
      </c>
      <c r="AC154">
        <f>SUM(F154,H154,J154,L154,N154,P154,R154,T154,V154,X154,Z154,AB154)</f>
        <v>0</v>
      </c>
    </row>
    <row r="155">
      <c r="A155" t="str">
        <v>97245</v>
      </c>
      <c r="B155" t="str">
        <v>JAK2 exon12 N542-E543 del mutation</v>
      </c>
      <c r="D155">
        <v>2150</v>
      </c>
      <c r="F155">
        <v>0</v>
      </c>
      <c r="H155">
        <v>0</v>
      </c>
      <c r="J155">
        <v>0</v>
      </c>
      <c r="L155">
        <v>0</v>
      </c>
      <c r="N155">
        <v>0</v>
      </c>
      <c r="P155">
        <v>0</v>
      </c>
      <c r="AC155">
        <f>SUM(F155,H155,J155,L155,N155,P155,R155,T155,V155,X155,Z155,AB155)</f>
        <v>0</v>
      </c>
    </row>
    <row r="156">
      <c r="A156" t="str">
        <v>92205</v>
      </c>
      <c r="B156" t="str">
        <v>Measles Ab., IgM,titer (serum)</v>
      </c>
      <c r="D156">
        <v>250</v>
      </c>
      <c r="F156">
        <v>0</v>
      </c>
      <c r="H156">
        <v>0</v>
      </c>
      <c r="J156">
        <v>0</v>
      </c>
      <c r="L156">
        <v>0</v>
      </c>
      <c r="N156">
        <v>0</v>
      </c>
      <c r="P156">
        <v>0</v>
      </c>
      <c r="AC156">
        <f>SUM(F156,H156,J156,L156,N156,P156,R156,T156,V156,X156,Z156,AB156)</f>
        <v>0</v>
      </c>
    </row>
    <row r="157">
      <c r="A157" t="str">
        <v>92176</v>
      </c>
      <c r="B157" t="str">
        <v>Homocysteine</v>
      </c>
      <c r="C157" t="str">
        <v>30311</v>
      </c>
      <c r="D157">
        <v>385</v>
      </c>
      <c r="F157">
        <v>0</v>
      </c>
      <c r="H157">
        <v>1</v>
      </c>
      <c r="J157">
        <v>0</v>
      </c>
      <c r="L157">
        <v>1</v>
      </c>
      <c r="N157">
        <v>2</v>
      </c>
      <c r="P157">
        <v>0</v>
      </c>
      <c r="AC157">
        <f>SUM(F157,H157,J157,L157,N157,P157,R157,T157,V157,X157,Z157,AB157)</f>
        <v>4</v>
      </c>
    </row>
    <row r="158">
      <c r="A158" t="str">
        <v>92022</v>
      </c>
      <c r="B158" t="str">
        <v>Anti Centromere</v>
      </c>
      <c r="C158" t="str">
        <v>37012</v>
      </c>
      <c r="D158">
        <v>200</v>
      </c>
      <c r="F158">
        <v>0</v>
      </c>
      <c r="H158">
        <v>0</v>
      </c>
      <c r="J158">
        <v>0</v>
      </c>
      <c r="L158">
        <v>0</v>
      </c>
      <c r="N158">
        <v>0</v>
      </c>
      <c r="P158">
        <v>0</v>
      </c>
      <c r="AC158">
        <f>SUM(F158,H158,J158,L158,N158,P158,R158,T158,V158,X158,Z158,AB158)</f>
        <v>0</v>
      </c>
    </row>
    <row r="159">
      <c r="A159" t="str">
        <v>98054</v>
      </c>
      <c r="B159" t="str">
        <v>Autoimmune encephalitis antibody (ส่งจุฬา)</v>
      </c>
      <c r="D159">
        <v>4000</v>
      </c>
      <c r="F159">
        <v>0</v>
      </c>
      <c r="H159">
        <v>1</v>
      </c>
      <c r="J159">
        <v>1</v>
      </c>
      <c r="L159">
        <v>0</v>
      </c>
      <c r="N159">
        <v>0</v>
      </c>
      <c r="P159">
        <v>1</v>
      </c>
      <c r="AC159">
        <f>SUM(F159,H159,J159,L159,N159,P159,R159,T159,V159,X159,Z159,AB159)</f>
        <v>3</v>
      </c>
    </row>
    <row r="160">
      <c r="A160" t="str">
        <v>98078</v>
      </c>
      <c r="B160" t="str">
        <v>Viral Meningitis 12 types(herpes 7+Viral5)</v>
      </c>
      <c r="D160">
        <v>3200</v>
      </c>
      <c r="F160">
        <v>1</v>
      </c>
      <c r="H160">
        <v>2</v>
      </c>
      <c r="J160">
        <v>0</v>
      </c>
      <c r="L160">
        <v>1</v>
      </c>
      <c r="N160">
        <v>0</v>
      </c>
      <c r="P160">
        <v>0</v>
      </c>
      <c r="AC160">
        <f>SUM(F160,H160,J160,L160,N160,P160,R160,T160,V160,X160,Z160,AB160)</f>
        <v>4</v>
      </c>
    </row>
    <row r="161">
      <c r="A161" t="str">
        <v>93008</v>
      </c>
      <c r="B161" t="str">
        <v>FISH for leukemia - FIP1l1-CH1C2-PDGFRA(4q12)Del,Break/BPL</v>
      </c>
      <c r="D161">
        <v>1600</v>
      </c>
      <c r="F161">
        <v>1</v>
      </c>
      <c r="H161">
        <v>0</v>
      </c>
      <c r="J161">
        <v>3</v>
      </c>
      <c r="L161">
        <v>0</v>
      </c>
      <c r="N161">
        <v>1</v>
      </c>
      <c r="P161">
        <v>0</v>
      </c>
      <c r="AC161">
        <f>SUM(F161,H161,J161,L161,N161,P161,R161,T161,V161,X161,Z161,AB161)</f>
        <v>5</v>
      </c>
    </row>
    <row r="162">
      <c r="A162" t="str">
        <v>95080</v>
      </c>
      <c r="B162" t="str">
        <v>HBsAg (Quantitative)</v>
      </c>
      <c r="C162" t="str">
        <v>36321</v>
      </c>
      <c r="D162">
        <v>500</v>
      </c>
      <c r="F162">
        <v>0</v>
      </c>
      <c r="H162">
        <v>1</v>
      </c>
      <c r="J162">
        <v>0</v>
      </c>
      <c r="L162">
        <v>0</v>
      </c>
      <c r="N162">
        <v>0</v>
      </c>
      <c r="P162">
        <v>0</v>
      </c>
      <c r="AC162">
        <f>SUM(F162,H162,J162,L162,N162,P162,R162,T162,V162,X162,Z162,AB162)</f>
        <v>1</v>
      </c>
    </row>
    <row r="163">
      <c r="A163" t="str">
        <v>97020</v>
      </c>
      <c r="B163" t="str">
        <v>Galactomanam Antigen (Fluid)</v>
      </c>
      <c r="D163">
        <v>323</v>
      </c>
      <c r="F163">
        <v>3</v>
      </c>
      <c r="H163">
        <v>0</v>
      </c>
      <c r="J163">
        <v>1</v>
      </c>
      <c r="L163">
        <v>0</v>
      </c>
      <c r="N163">
        <v>0</v>
      </c>
      <c r="P163">
        <v>1</v>
      </c>
      <c r="AC163">
        <f>SUM(F163,H163,J163,L163,N163,P163,R163,T163,V163,X163,Z163,AB163)</f>
        <v>5</v>
      </c>
    </row>
    <row r="164">
      <c r="A164" t="str">
        <v>95038</v>
      </c>
      <c r="B164" t="str">
        <v>Plasma Amino acids</v>
      </c>
      <c r="C164" t="str">
        <v>37502</v>
      </c>
      <c r="D164">
        <v>2500</v>
      </c>
      <c r="F164">
        <v>0</v>
      </c>
      <c r="H164">
        <v>0</v>
      </c>
      <c r="J164">
        <v>1</v>
      </c>
      <c r="L164">
        <v>0</v>
      </c>
      <c r="N164">
        <v>0</v>
      </c>
      <c r="P164">
        <v>0</v>
      </c>
      <c r="AC164">
        <f>SUM(F164,H164,J164,L164,N164,P164,R164,T164,V164,X164,Z164,AB164)</f>
        <v>1</v>
      </c>
    </row>
    <row r="165">
      <c r="A165" t="str">
        <v>92212</v>
      </c>
      <c r="B165" t="str">
        <v>Methemoglobin</v>
      </c>
      <c r="D165">
        <v>250</v>
      </c>
      <c r="F165">
        <v>0</v>
      </c>
      <c r="H165">
        <v>1</v>
      </c>
      <c r="J165">
        <v>1</v>
      </c>
      <c r="L165">
        <v>0</v>
      </c>
      <c r="N165">
        <v>2</v>
      </c>
      <c r="P165">
        <v>0</v>
      </c>
      <c r="AC165">
        <f>SUM(F165,H165,J165,L165,N165,P165,R165,T165,V165,X165,Z165,AB165)</f>
        <v>4</v>
      </c>
    </row>
    <row r="166">
      <c r="A166" t="str">
        <v>97122</v>
      </c>
      <c r="B166" t="str">
        <v>FLT-3 Gene mutation[BPL][RAMA]</v>
      </c>
      <c r="D166">
        <v>3200</v>
      </c>
      <c r="F166">
        <v>1</v>
      </c>
      <c r="H166">
        <v>1</v>
      </c>
      <c r="J166">
        <v>2</v>
      </c>
      <c r="L166">
        <v>1</v>
      </c>
      <c r="N166">
        <v>0</v>
      </c>
      <c r="P166">
        <v>0</v>
      </c>
      <c r="AC166">
        <f>SUM(F166,H166,J166,L166,N166,P166,R166,T166,V166,X166,Z166,AB166)</f>
        <v>5</v>
      </c>
    </row>
    <row r="167">
      <c r="A167" t="str">
        <v>98048</v>
      </c>
      <c r="B167" t="str">
        <v>NPM1 gene mutation in AML</v>
      </c>
      <c r="D167">
        <v>3220</v>
      </c>
      <c r="F167">
        <v>2</v>
      </c>
      <c r="H167">
        <v>0</v>
      </c>
      <c r="J167">
        <v>1</v>
      </c>
      <c r="L167">
        <v>0</v>
      </c>
      <c r="N167">
        <v>0</v>
      </c>
      <c r="P167">
        <v>0</v>
      </c>
      <c r="AC167">
        <f>SUM(F167,H167,J167,L167,N167,P167,R167,T167,V167,X167,Z167,AB167)</f>
        <v>3</v>
      </c>
    </row>
    <row r="168">
      <c r="A168" t="str">
        <v>98044</v>
      </c>
      <c r="B168" t="str">
        <v>Fragile X Syndrome Analysis</v>
      </c>
      <c r="D168">
        <v>4000</v>
      </c>
      <c r="F168">
        <v>0</v>
      </c>
      <c r="H168">
        <v>0</v>
      </c>
      <c r="J168">
        <v>0</v>
      </c>
      <c r="L168">
        <v>0</v>
      </c>
      <c r="N168">
        <v>0</v>
      </c>
      <c r="P168">
        <v>0</v>
      </c>
      <c r="AC168">
        <f>SUM(F168,H168,J168,L168,N168,P168,R168,T168,V168,X168,Z168,AB168)</f>
        <v>0</v>
      </c>
    </row>
    <row r="169">
      <c r="A169" t="str">
        <v>97205</v>
      </c>
      <c r="B169" t="str">
        <v>colony/ positive molecular identification and AST</v>
      </c>
      <c r="D169">
        <v>855</v>
      </c>
      <c r="F169">
        <v>5</v>
      </c>
      <c r="H169">
        <v>0</v>
      </c>
      <c r="J169">
        <v>3</v>
      </c>
      <c r="L169">
        <v>1</v>
      </c>
      <c r="N169">
        <v>1</v>
      </c>
      <c r="P169">
        <v>2</v>
      </c>
      <c r="AC169">
        <f>SUM(F169,H169,J169,L169,N169,P169,R169,T169,V169,X169,Z169,AB169)</f>
        <v>12</v>
      </c>
    </row>
    <row r="170">
      <c r="A170" t="str">
        <v>95025</v>
      </c>
      <c r="B170" t="str">
        <v>Tryptase</v>
      </c>
      <c r="D170">
        <v>1000</v>
      </c>
      <c r="F170">
        <v>0</v>
      </c>
      <c r="H170">
        <v>0</v>
      </c>
      <c r="J170">
        <v>0</v>
      </c>
      <c r="L170">
        <v>0</v>
      </c>
      <c r="N170">
        <v>0</v>
      </c>
      <c r="P170">
        <v>0</v>
      </c>
      <c r="AC170">
        <f>SUM(F170,H170,J170,L170,N170,P170,R170,T170,V170,X170,Z170,AB170)</f>
        <v>0</v>
      </c>
    </row>
    <row r="171">
      <c r="A171" t="str">
        <v>92105</v>
      </c>
      <c r="B171" t="str">
        <v>Cryoglobulin</v>
      </c>
      <c r="C171" t="str">
        <v>37219</v>
      </c>
      <c r="D171">
        <v>100</v>
      </c>
      <c r="F171">
        <v>0</v>
      </c>
      <c r="H171">
        <v>0</v>
      </c>
      <c r="J171">
        <v>1</v>
      </c>
      <c r="L171">
        <v>0</v>
      </c>
      <c r="N171">
        <v>0</v>
      </c>
      <c r="P171">
        <v>0</v>
      </c>
      <c r="AC171">
        <f>SUM(F171,H171,J171,L171,N171,P171,R171,T171,V171,X171,Z171,AB171)</f>
        <v>1</v>
      </c>
    </row>
    <row r="172">
      <c r="A172" t="str">
        <v>95031</v>
      </c>
      <c r="B172" t="str">
        <v>Factor V leidens gene mutation</v>
      </c>
      <c r="C172" t="str">
        <v>37516</v>
      </c>
      <c r="D172">
        <v>500</v>
      </c>
      <c r="F172">
        <v>0</v>
      </c>
      <c r="H172">
        <v>0</v>
      </c>
      <c r="J172">
        <v>0</v>
      </c>
      <c r="L172">
        <v>0</v>
      </c>
      <c r="N172">
        <v>0</v>
      </c>
      <c r="P172">
        <v>0</v>
      </c>
      <c r="AC172">
        <f>SUM(F172,H172,J172,L172,N172,P172,R172,T172,V172,X172,Z172,AB172)</f>
        <v>0</v>
      </c>
    </row>
    <row r="173">
      <c r="A173" t="str">
        <v>92251</v>
      </c>
      <c r="B173" t="str">
        <v>PSA ratio(Free PSA/Total PSA)</v>
      </c>
      <c r="C173" t="str">
        <v>37311</v>
      </c>
      <c r="D173">
        <v>570</v>
      </c>
      <c r="F173">
        <v>0</v>
      </c>
      <c r="H173">
        <v>0</v>
      </c>
      <c r="J173">
        <v>0</v>
      </c>
      <c r="L173">
        <v>0</v>
      </c>
      <c r="N173">
        <v>0</v>
      </c>
      <c r="P173">
        <v>0</v>
      </c>
      <c r="AC173">
        <f>SUM(F173,H173,J173,L173,N173,P173,R173,T173,V173,X173,Z173,AB173)</f>
        <v>0</v>
      </c>
    </row>
    <row r="174">
      <c r="A174" t="str">
        <v>97024</v>
      </c>
      <c r="B174" t="str">
        <v>Anti IFN gamma (Interferon gamma) autoantibody</v>
      </c>
      <c r="D174">
        <v>800</v>
      </c>
      <c r="F174">
        <v>1</v>
      </c>
      <c r="H174">
        <v>1</v>
      </c>
      <c r="J174">
        <v>0</v>
      </c>
      <c r="L174">
        <v>0</v>
      </c>
      <c r="N174">
        <v>1</v>
      </c>
      <c r="P174">
        <v>0</v>
      </c>
      <c r="AC174">
        <f>SUM(F174,H174,J174,L174,N174,P174,R174,T174,V174,X174,Z174,AB174)</f>
        <v>3</v>
      </c>
    </row>
    <row r="175">
      <c r="A175" t="str">
        <v>95046</v>
      </c>
      <c r="B175" t="str">
        <v>Toxoplasma gondii Ab-IgM (CSF)</v>
      </c>
      <c r="D175">
        <v>250</v>
      </c>
      <c r="F175">
        <v>0</v>
      </c>
      <c r="H175">
        <v>0</v>
      </c>
      <c r="J175">
        <v>0</v>
      </c>
      <c r="L175">
        <v>0</v>
      </c>
      <c r="N175">
        <v>0</v>
      </c>
      <c r="P175">
        <v>0</v>
      </c>
      <c r="AC175">
        <f>SUM(F175,H175,J175,L175,N175,P175,R175,T175,V175,X175,Z175,AB175)</f>
        <v>0</v>
      </c>
    </row>
    <row r="176">
      <c r="A176" t="str">
        <v>97098</v>
      </c>
      <c r="B176" t="str">
        <v>Activated Protein C (APC) Resistance</v>
      </c>
      <c r="C176" t="str">
        <v>30217</v>
      </c>
      <c r="D176">
        <v>500</v>
      </c>
      <c r="F176">
        <v>0</v>
      </c>
      <c r="H176">
        <v>0</v>
      </c>
      <c r="J176">
        <v>0</v>
      </c>
      <c r="L176">
        <v>0</v>
      </c>
      <c r="N176">
        <v>0</v>
      </c>
      <c r="P176">
        <v>0</v>
      </c>
      <c r="AC176">
        <f>SUM(F176,H176,J176,L176,N176,P176,R176,T176,V176,X176,Z176,AB176)</f>
        <v>0</v>
      </c>
    </row>
    <row r="177">
      <c r="A177" t="str">
        <v>97025</v>
      </c>
      <c r="B177" t="str">
        <v>Strongyloidiasis Ab,Blood</v>
      </c>
      <c r="D177">
        <v>400</v>
      </c>
      <c r="F177">
        <v>0</v>
      </c>
      <c r="H177">
        <v>0</v>
      </c>
      <c r="J177">
        <v>0</v>
      </c>
      <c r="L177">
        <v>0</v>
      </c>
      <c r="N177">
        <v>0</v>
      </c>
      <c r="P177">
        <v>1</v>
      </c>
      <c r="AC177">
        <f>SUM(F177,H177,J177,L177,N177,P177,R177,T177,V177,X177,Z177,AB177)</f>
        <v>1</v>
      </c>
    </row>
    <row r="178">
      <c r="A178" t="str">
        <v>98040</v>
      </c>
      <c r="B178" t="str">
        <v>Prader-Willi/Angelman syndrome (SNRPN by MS-MLPA)</v>
      </c>
      <c r="D178">
        <v>6000</v>
      </c>
      <c r="F178">
        <v>1</v>
      </c>
      <c r="H178">
        <v>0</v>
      </c>
      <c r="J178">
        <v>0</v>
      </c>
      <c r="L178">
        <v>1</v>
      </c>
      <c r="N178">
        <v>0</v>
      </c>
      <c r="P178">
        <v>0</v>
      </c>
      <c r="AC178">
        <f>SUM(F178,H178,J178,L178,N178,P178,R178,T178,V178,X178,Z178,AB178)</f>
        <v>2</v>
      </c>
    </row>
    <row r="179">
      <c r="A179" t="str">
        <v>95055</v>
      </c>
      <c r="B179" t="str">
        <v>Pneumocystis carinii (PCP), by IFA</v>
      </c>
      <c r="D179">
        <v>300</v>
      </c>
      <c r="F179">
        <v>0</v>
      </c>
      <c r="H179">
        <v>0</v>
      </c>
      <c r="J179">
        <v>0</v>
      </c>
      <c r="L179">
        <v>0</v>
      </c>
      <c r="N179">
        <v>0</v>
      </c>
      <c r="P179">
        <v>0</v>
      </c>
      <c r="AC179">
        <f>SUM(F179,H179,J179,L179,N179,P179,R179,T179,V179,X179,Z179,AB179)</f>
        <v>0</v>
      </c>
    </row>
    <row r="180">
      <c r="A180" t="str">
        <v>92320</v>
      </c>
      <c r="B180" t="str">
        <v>Spinal musculara atrophy (SMA) (PCR) (Kenady disease)</v>
      </c>
      <c r="D180">
        <v>1000</v>
      </c>
      <c r="F180">
        <v>0</v>
      </c>
      <c r="H180">
        <v>1</v>
      </c>
      <c r="J180">
        <v>1</v>
      </c>
      <c r="L180">
        <v>1</v>
      </c>
      <c r="N180">
        <v>0</v>
      </c>
      <c r="P180">
        <v>0</v>
      </c>
      <c r="AC180">
        <f>SUM(F180,H180,J180,L180,N180,P180,R180,T180,V180,X180,Z180,AB180)</f>
        <v>3</v>
      </c>
    </row>
    <row r="181">
      <c r="A181" t="str">
        <v>98069</v>
      </c>
      <c r="B181" t="str">
        <v>Mutation in MPN (JAK2, CALR, MPL,KIT)</v>
      </c>
      <c r="D181">
        <v>8000</v>
      </c>
      <c r="F181">
        <v>0</v>
      </c>
      <c r="H181">
        <v>1</v>
      </c>
      <c r="J181">
        <v>0</v>
      </c>
      <c r="L181">
        <v>0</v>
      </c>
      <c r="N181">
        <v>1</v>
      </c>
      <c r="P181">
        <v>1</v>
      </c>
      <c r="AC181">
        <f>SUM(F181,H181,J181,L181,N181,P181,R181,T181,V181,X181,Z181,AB181)</f>
        <v>3</v>
      </c>
    </row>
    <row r="182">
      <c r="A182" t="str">
        <v>97038</v>
      </c>
      <c r="B182" t="str">
        <v>Voriconazole level</v>
      </c>
      <c r="D182">
        <v>1200</v>
      </c>
      <c r="F182">
        <v>1</v>
      </c>
      <c r="H182">
        <v>1</v>
      </c>
      <c r="J182">
        <v>2</v>
      </c>
      <c r="L182">
        <v>1</v>
      </c>
      <c r="N182">
        <v>4</v>
      </c>
      <c r="P182">
        <v>1</v>
      </c>
      <c r="AC182">
        <f>SUM(F182,H182,J182,L182,N182,P182,R182,T182,V182,X182,Z182,AB182)</f>
        <v>10</v>
      </c>
    </row>
    <row r="183">
      <c r="A183" t="str">
        <v>97248</v>
      </c>
      <c r="B183" t="str">
        <v>Acetone (urine)</v>
      </c>
      <c r="C183" t="str">
        <v>33550</v>
      </c>
      <c r="D183">
        <v>120</v>
      </c>
      <c r="F183">
        <v>0</v>
      </c>
      <c r="H183">
        <v>0</v>
      </c>
      <c r="J183">
        <v>21</v>
      </c>
      <c r="L183">
        <v>0</v>
      </c>
      <c r="N183">
        <v>0</v>
      </c>
      <c r="P183">
        <v>0</v>
      </c>
      <c r="AC183">
        <f>SUM(F183,H183,J183,L183,N183,P183,R183,T183,V183,X183,Z183,AB183)</f>
        <v>21</v>
      </c>
    </row>
    <row r="184">
      <c r="A184" t="str">
        <v>92217</v>
      </c>
      <c r="B184" t="str">
        <v>Mumps Ab,Ig M titer (serum)</v>
      </c>
      <c r="D184">
        <v>193</v>
      </c>
      <c r="F184">
        <v>1</v>
      </c>
      <c r="H184">
        <v>0</v>
      </c>
      <c r="J184">
        <v>0</v>
      </c>
      <c r="L184">
        <v>1</v>
      </c>
      <c r="N184">
        <v>0</v>
      </c>
      <c r="P184">
        <v>1</v>
      </c>
      <c r="AC184">
        <f>SUM(F184,H184,J184,L184,N184,P184,R184,T184,V184,X184,Z184,AB184)</f>
        <v>3</v>
      </c>
    </row>
    <row r="185">
      <c r="A185" t="str">
        <v>92228</v>
      </c>
      <c r="B185" t="str">
        <v>Paracetamol(Acetaminophen), serum</v>
      </c>
      <c r="C185" t="str">
        <v>33107</v>
      </c>
      <c r="D185">
        <v>240</v>
      </c>
      <c r="F185">
        <v>0</v>
      </c>
      <c r="H185">
        <v>1</v>
      </c>
      <c r="J185">
        <v>0</v>
      </c>
      <c r="L185">
        <v>0</v>
      </c>
      <c r="N185">
        <v>0</v>
      </c>
      <c r="P185">
        <v>0</v>
      </c>
      <c r="AC185">
        <f>SUM(F185,H185,J185,L185,N185,P185,R185,T185,V185,X185,Z185,AB185)</f>
        <v>1</v>
      </c>
    </row>
    <row r="186">
      <c r="A186" t="str">
        <v>97166</v>
      </c>
      <c r="B186" t="str">
        <v>Anti-GM1 ganglioside, IgG</v>
      </c>
      <c r="D186">
        <v>1388</v>
      </c>
      <c r="F186">
        <v>0</v>
      </c>
      <c r="H186">
        <v>0</v>
      </c>
      <c r="J186">
        <v>0</v>
      </c>
      <c r="L186">
        <v>0</v>
      </c>
      <c r="N186">
        <v>0</v>
      </c>
      <c r="P186">
        <v>0</v>
      </c>
      <c r="AC186">
        <f>SUM(F186,H186,J186,L186,N186,P186,R186,T186,V186,X186,Z186,AB186)</f>
        <v>0</v>
      </c>
    </row>
    <row r="187">
      <c r="A187" t="str">
        <v>92302</v>
      </c>
      <c r="B187" t="str">
        <v>Parvo virus B19 Ab, IgG [BPL][RAMA]</v>
      </c>
      <c r="C187" t="str">
        <v>36680</v>
      </c>
      <c r="D187">
        <v>300</v>
      </c>
      <c r="F187">
        <v>1</v>
      </c>
      <c r="H187">
        <v>1</v>
      </c>
      <c r="J187">
        <v>3</v>
      </c>
      <c r="L187">
        <v>0</v>
      </c>
      <c r="N187">
        <v>0</v>
      </c>
      <c r="P187">
        <v>0</v>
      </c>
      <c r="AC187">
        <f>SUM(F187,H187,J187,L187,N187,P187,R187,T187,V187,X187,Z187,AB187)</f>
        <v>5</v>
      </c>
    </row>
    <row r="188">
      <c r="A188" t="str">
        <v>92289</v>
      </c>
      <c r="B188" t="str">
        <v>Carboxyhemoglobin (carbonmonoxide)</v>
      </c>
      <c r="C188" t="str">
        <v>33804</v>
      </c>
      <c r="D188">
        <v>250</v>
      </c>
      <c r="F188">
        <v>0</v>
      </c>
      <c r="H188">
        <v>0</v>
      </c>
      <c r="J188">
        <v>0</v>
      </c>
      <c r="L188">
        <v>0</v>
      </c>
      <c r="N188">
        <v>0</v>
      </c>
      <c r="P188">
        <v>0</v>
      </c>
      <c r="AC188">
        <f>SUM(F188,H188,J188,L188,N188,P188,R188,T188,V188,X188,Z188,AB188)</f>
        <v>0</v>
      </c>
    </row>
    <row r="189">
      <c r="A189" t="str">
        <v>92077</v>
      </c>
      <c r="B189" t="str">
        <v>Calcitonin</v>
      </c>
      <c r="C189" t="str">
        <v>32615</v>
      </c>
      <c r="D189">
        <v>400</v>
      </c>
      <c r="F189">
        <v>0</v>
      </c>
      <c r="H189">
        <v>0</v>
      </c>
      <c r="J189">
        <v>0</v>
      </c>
      <c r="L189">
        <v>0</v>
      </c>
      <c r="N189">
        <v>0</v>
      </c>
      <c r="P189">
        <v>0</v>
      </c>
      <c r="AC189">
        <f>SUM(F189,H189,J189,L189,N189,P189,R189,T189,V189,X189,Z189,AB189)</f>
        <v>0</v>
      </c>
    </row>
    <row r="190">
      <c r="A190" t="str">
        <v>97144</v>
      </c>
      <c r="B190" t="str">
        <v>Fecal calprotectin</v>
      </c>
      <c r="D190">
        <v>1100</v>
      </c>
      <c r="F190">
        <v>0</v>
      </c>
      <c r="H190">
        <v>0</v>
      </c>
      <c r="J190">
        <v>0</v>
      </c>
      <c r="L190">
        <v>0</v>
      </c>
      <c r="N190">
        <v>0</v>
      </c>
      <c r="P190">
        <v>0</v>
      </c>
      <c r="AC190">
        <f>SUM(F190,H190,J190,L190,N190,P190,R190,T190,V190,X190,Z190,AB190)</f>
        <v>0</v>
      </c>
    </row>
    <row r="191">
      <c r="A191" t="str">
        <v>95070</v>
      </c>
      <c r="B191" t="str">
        <v>EBV-DNA,PCR (Quanlitative)</v>
      </c>
      <c r="D191">
        <v>1600</v>
      </c>
      <c r="F191">
        <v>0</v>
      </c>
      <c r="H191">
        <v>1</v>
      </c>
      <c r="J191">
        <v>0</v>
      </c>
      <c r="L191">
        <v>1</v>
      </c>
      <c r="N191">
        <v>0</v>
      </c>
      <c r="P191">
        <v>0</v>
      </c>
      <c r="AC191">
        <f>SUM(F191,H191,J191,L191,N191,P191,R191,T191,V191,X191,Z191,AB191)</f>
        <v>2</v>
      </c>
    </row>
    <row r="192">
      <c r="A192" t="str">
        <v>95045</v>
      </c>
      <c r="B192" t="str">
        <v>Toxoplasma gondii Ab-IgG (CSF)</v>
      </c>
      <c r="D192">
        <v>250</v>
      </c>
      <c r="F192">
        <v>0</v>
      </c>
      <c r="H192">
        <v>0</v>
      </c>
      <c r="J192">
        <v>0</v>
      </c>
      <c r="L192">
        <v>0</v>
      </c>
      <c r="N192">
        <v>0</v>
      </c>
      <c r="P192">
        <v>0</v>
      </c>
      <c r="AC192">
        <f>SUM(F192,H192,J192,L192,N192,P192,R192,T192,V192,X192,Z192,AB192)</f>
        <v>0</v>
      </c>
    </row>
    <row r="193">
      <c r="A193" t="str">
        <v>98033</v>
      </c>
      <c r="B193" t="str">
        <v>Mycobacterium tuberculosis and Mycobacterium spp. PCR (MTB/NTM Real-Time PCR)</v>
      </c>
      <c r="C193" t="str">
        <v>36018</v>
      </c>
      <c r="D193">
        <v>880</v>
      </c>
      <c r="F193">
        <v>1</v>
      </c>
      <c r="H193">
        <v>12</v>
      </c>
      <c r="J193">
        <v>20</v>
      </c>
      <c r="L193">
        <v>12</v>
      </c>
      <c r="N193">
        <v>3</v>
      </c>
      <c r="P193">
        <v>3</v>
      </c>
      <c r="AC193">
        <f>SUM(F193,H193,J193,L193,N193,P193,R193,T193,V193,X193,Z193,AB193)</f>
        <v>51</v>
      </c>
    </row>
    <row r="194">
      <c r="A194" t="str">
        <v>92269</v>
      </c>
      <c r="B194" t="str">
        <v>Toxocara canis Ab, Blood (ยกเลิก)</v>
      </c>
      <c r="D194">
        <v>400</v>
      </c>
      <c r="F194">
        <v>0</v>
      </c>
      <c r="H194">
        <v>0</v>
      </c>
      <c r="J194">
        <v>0</v>
      </c>
      <c r="L194">
        <v>0</v>
      </c>
      <c r="N194">
        <v>0</v>
      </c>
      <c r="P194">
        <v>0</v>
      </c>
      <c r="AC194">
        <f>SUM(F194,H194,J194,L194,N194,P194,R194,T194,V194,X194,Z194,AB194)</f>
        <v>0</v>
      </c>
    </row>
    <row r="195">
      <c r="A195" t="str">
        <v>98049</v>
      </c>
      <c r="B195" t="str">
        <v>Parvovirus B19 Viral Load</v>
      </c>
      <c r="D195">
        <v>2480</v>
      </c>
      <c r="F195">
        <v>0</v>
      </c>
      <c r="H195">
        <v>0</v>
      </c>
      <c r="J195">
        <v>0</v>
      </c>
      <c r="L195">
        <v>0</v>
      </c>
      <c r="N195">
        <v>0</v>
      </c>
      <c r="P195">
        <v>0</v>
      </c>
      <c r="AC195">
        <f>SUM(F195,H195,J195,L195,N195,P195,R195,T195,V195,X195,Z195,AB195)</f>
        <v>0</v>
      </c>
    </row>
    <row r="196">
      <c r="A196" t="str">
        <v>98032</v>
      </c>
      <c r="B196" t="str">
        <v>Gnathostomiasis Ab</v>
      </c>
      <c r="C196" t="str">
        <v>31215</v>
      </c>
      <c r="D196">
        <v>400</v>
      </c>
      <c r="F196">
        <v>0</v>
      </c>
      <c r="H196">
        <v>0</v>
      </c>
      <c r="J196">
        <v>0</v>
      </c>
      <c r="L196">
        <v>0</v>
      </c>
      <c r="N196">
        <v>0</v>
      </c>
      <c r="P196">
        <v>1</v>
      </c>
      <c r="AC196">
        <f>SUM(F196,H196,J196,L196,N196,P196,R196,T196,V196,X196,Z196,AB196)</f>
        <v>1</v>
      </c>
    </row>
    <row r="197">
      <c r="A197" t="str">
        <v>97238</v>
      </c>
      <c r="B197" t="str">
        <v>O-cresol (as Toluene,Thinner metabolite)</v>
      </c>
      <c r="D197">
        <v>120</v>
      </c>
      <c r="F197">
        <v>0</v>
      </c>
      <c r="H197">
        <v>1</v>
      </c>
      <c r="J197">
        <v>0</v>
      </c>
      <c r="L197">
        <v>0</v>
      </c>
      <c r="N197">
        <v>1</v>
      </c>
      <c r="P197">
        <v>0</v>
      </c>
      <c r="AC197">
        <f>SUM(F197,H197,J197,L197,N197,P197,R197,T197,V197,X197,Z197,AB197)</f>
        <v>2</v>
      </c>
    </row>
    <row r="198">
      <c r="A198" t="str">
        <v>97093</v>
      </c>
      <c r="B198" t="str">
        <v>Prolactin (After PEG precipitation)</v>
      </c>
      <c r="D198">
        <v>300</v>
      </c>
      <c r="F198">
        <v>0</v>
      </c>
      <c r="H198">
        <v>0</v>
      </c>
      <c r="J198">
        <v>0</v>
      </c>
      <c r="L198">
        <v>0</v>
      </c>
      <c r="N198">
        <v>0</v>
      </c>
      <c r="P198">
        <v>0</v>
      </c>
      <c r="AC198">
        <f>SUM(F198,H198,J198,L198,N198,P198,R198,T198,V198,X198,Z198,AB198)</f>
        <v>0</v>
      </c>
    </row>
    <row r="199">
      <c r="A199" t="str">
        <v>97134</v>
      </c>
      <c r="B199" t="str">
        <v>Parvo virus B19 PCR</v>
      </c>
      <c r="C199" t="str">
        <v>36681</v>
      </c>
      <c r="D199">
        <v>1300</v>
      </c>
      <c r="F199">
        <v>0</v>
      </c>
      <c r="H199">
        <v>0</v>
      </c>
      <c r="J199">
        <v>0</v>
      </c>
      <c r="L199">
        <v>0</v>
      </c>
      <c r="N199">
        <v>0</v>
      </c>
      <c r="P199">
        <v>1</v>
      </c>
      <c r="AC199">
        <f>SUM(F199,H199,J199,L199,N199,P199,R199,T199,V199,X199,Z199,AB199)</f>
        <v>1</v>
      </c>
    </row>
    <row r="200">
      <c r="A200" t="str">
        <v>91045</v>
      </c>
      <c r="B200" t="str">
        <v>Herpes simplex viruses Group(HSV,VZV,CMV),Qualitative</v>
      </c>
      <c r="D200">
        <v>3000</v>
      </c>
      <c r="F200">
        <v>0</v>
      </c>
      <c r="H200">
        <v>0</v>
      </c>
      <c r="J200">
        <v>0</v>
      </c>
      <c r="L200">
        <v>0</v>
      </c>
      <c r="N200">
        <v>0</v>
      </c>
      <c r="P200">
        <v>0</v>
      </c>
      <c r="AC200">
        <f>SUM(F200,H200,J200,L200,N200,P200,R200,T200,V200,X200,Z200,AB200)</f>
        <v>0</v>
      </c>
    </row>
    <row r="201">
      <c r="A201" t="str">
        <v>92321</v>
      </c>
      <c r="B201" t="str">
        <v>Anti -LKM (LKM-1) (liver-kidney Microsome)</v>
      </c>
      <c r="D201">
        <v>360</v>
      </c>
      <c r="F201">
        <v>0</v>
      </c>
      <c r="H201">
        <v>1</v>
      </c>
      <c r="J201">
        <v>0</v>
      </c>
      <c r="L201">
        <v>0</v>
      </c>
      <c r="N201">
        <v>1</v>
      </c>
      <c r="P201">
        <v>1</v>
      </c>
      <c r="AC201">
        <f>SUM(F201,H201,J201,L201,N201,P201,R201,T201,V201,X201,Z201,AB201)</f>
        <v>3</v>
      </c>
    </row>
    <row r="202">
      <c r="A202" t="str">
        <v>92143</v>
      </c>
      <c r="B202" t="str">
        <v>FTA-Abs., IgM (serum)</v>
      </c>
      <c r="C202" t="str">
        <v>36004</v>
      </c>
      <c r="D202">
        <v>200</v>
      </c>
      <c r="F202">
        <v>1</v>
      </c>
      <c r="H202">
        <v>2</v>
      </c>
      <c r="J202">
        <v>1</v>
      </c>
      <c r="L202">
        <v>0</v>
      </c>
      <c r="N202">
        <v>1</v>
      </c>
      <c r="P202">
        <v>2</v>
      </c>
      <c r="AC202">
        <f>SUM(F202,H202,J202,L202,N202,P202,R202,T202,V202,X202,Z202,AB202)</f>
        <v>7</v>
      </c>
    </row>
    <row r="203">
      <c r="A203" t="str">
        <v>97015</v>
      </c>
      <c r="B203" t="str">
        <v>Enterovirus,PCR(Qualitative)</v>
      </c>
      <c r="C203" t="str">
        <v>36466</v>
      </c>
      <c r="D203">
        <v>710</v>
      </c>
      <c r="F203">
        <v>0</v>
      </c>
      <c r="H203">
        <v>3</v>
      </c>
      <c r="J203">
        <v>0</v>
      </c>
      <c r="L203">
        <v>0</v>
      </c>
      <c r="N203">
        <v>0</v>
      </c>
      <c r="P203">
        <v>0</v>
      </c>
      <c r="AC203">
        <f>SUM(F203,H203,J203,L203,N203,P203,R203,T203,V203,X203,Z203,AB203)</f>
        <v>3</v>
      </c>
    </row>
    <row r="204">
      <c r="A204" t="str">
        <v>92083</v>
      </c>
      <c r="B204" t="str">
        <v>Ceruloplasmin</v>
      </c>
      <c r="C204" t="str">
        <v>32406</v>
      </c>
      <c r="D204">
        <v>200</v>
      </c>
      <c r="F204">
        <v>0</v>
      </c>
      <c r="H204">
        <v>2</v>
      </c>
      <c r="J204">
        <v>1</v>
      </c>
      <c r="L204">
        <v>2</v>
      </c>
      <c r="N204">
        <v>1</v>
      </c>
      <c r="P204">
        <v>1</v>
      </c>
      <c r="AC204">
        <f>SUM(F204,H204,J204,L204,N204,P204,R204,T204,V204,X204,Z204,AB204)</f>
        <v>7</v>
      </c>
    </row>
    <row r="205">
      <c r="A205" t="str">
        <v>97078</v>
      </c>
      <c r="B205" t="str">
        <v>HLA-B*57:01(กลุ่มยา)</v>
      </c>
      <c r="D205">
        <v>550</v>
      </c>
      <c r="F205">
        <v>0</v>
      </c>
      <c r="H205">
        <v>0</v>
      </c>
      <c r="J205">
        <v>0</v>
      </c>
      <c r="L205">
        <v>0</v>
      </c>
      <c r="N205">
        <v>0</v>
      </c>
      <c r="P205">
        <v>0</v>
      </c>
      <c r="AC205">
        <f>SUM(F205,H205,J205,L205,N205,P205,R205,T205,V205,X205,Z205,AB205)</f>
        <v>0</v>
      </c>
    </row>
    <row r="206">
      <c r="A206" t="str">
        <v>95019</v>
      </c>
      <c r="B206" t="str">
        <v>TB-DNA, PCR (Qualitative), Tissue</v>
      </c>
      <c r="C206" t="str">
        <v>36018</v>
      </c>
      <c r="D206">
        <v>880</v>
      </c>
      <c r="F206">
        <v>0</v>
      </c>
      <c r="H206">
        <v>1</v>
      </c>
      <c r="J206">
        <v>1</v>
      </c>
      <c r="L206">
        <v>0</v>
      </c>
      <c r="N206">
        <v>0</v>
      </c>
      <c r="P206">
        <v>0</v>
      </c>
      <c r="AC206">
        <f>SUM(F206,H206,J206,L206,N206,P206,R206,T206,V206,X206,Z206,AB206)</f>
        <v>2</v>
      </c>
    </row>
    <row r="207">
      <c r="A207" t="str">
        <v>92059</v>
      </c>
      <c r="B207" t="str">
        <v>Apolipoprotein A</v>
      </c>
      <c r="C207" t="str">
        <v>32505</v>
      </c>
      <c r="D207">
        <v>200</v>
      </c>
      <c r="F207">
        <v>0</v>
      </c>
      <c r="H207">
        <v>0</v>
      </c>
      <c r="J207">
        <v>0</v>
      </c>
      <c r="L207">
        <v>0</v>
      </c>
      <c r="N207">
        <v>1</v>
      </c>
      <c r="P207">
        <v>0</v>
      </c>
      <c r="AC207">
        <f>SUM(F207,H207,J207,L207,N207,P207,R207,T207,V207,X207,Z207,AB207)</f>
        <v>1</v>
      </c>
    </row>
    <row r="208">
      <c r="A208" t="str">
        <v>92060</v>
      </c>
      <c r="B208" t="str">
        <v>Apolipoprotein B</v>
      </c>
      <c r="C208" t="str">
        <v>32506</v>
      </c>
      <c r="D208">
        <v>200</v>
      </c>
      <c r="F208">
        <v>0</v>
      </c>
      <c r="H208">
        <v>0</v>
      </c>
      <c r="J208">
        <v>0</v>
      </c>
      <c r="L208">
        <v>0</v>
      </c>
      <c r="N208">
        <v>1</v>
      </c>
      <c r="P208">
        <v>0</v>
      </c>
      <c r="AC208">
        <f>SUM(F208,H208,J208,L208,N208,P208,R208,T208,V208,X208,Z208,AB208)</f>
        <v>1</v>
      </c>
    </row>
    <row r="209">
      <c r="A209" t="str">
        <v>97163</v>
      </c>
      <c r="B209" t="str">
        <v>Autoimmune cerebellar degeneration - CSF</v>
      </c>
      <c r="D209">
        <v>3200</v>
      </c>
      <c r="F209">
        <v>0</v>
      </c>
      <c r="H209">
        <v>0</v>
      </c>
      <c r="J209">
        <v>0</v>
      </c>
      <c r="L209">
        <v>0</v>
      </c>
      <c r="N209">
        <v>0</v>
      </c>
      <c r="P209">
        <v>0</v>
      </c>
      <c r="AC209">
        <f>SUM(F209,H209,J209,L209,N209,P209,R209,T209,V209,X209,Z209,AB209)</f>
        <v>0</v>
      </c>
    </row>
    <row r="210">
      <c r="A210" t="str">
        <v>97150</v>
      </c>
      <c r="B210" t="str">
        <v>Detection of 21 Respiratory Viruses</v>
      </c>
      <c r="D210">
        <v>4000</v>
      </c>
      <c r="F210">
        <v>0</v>
      </c>
      <c r="H210">
        <v>0</v>
      </c>
      <c r="J210">
        <v>0</v>
      </c>
      <c r="L210">
        <v>0</v>
      </c>
      <c r="N210">
        <v>1</v>
      </c>
      <c r="P210">
        <v>0</v>
      </c>
      <c r="AC210">
        <f>SUM(F210,H210,J210,L210,N210,P210,R210,T210,V210,X210,Z210,AB210)</f>
        <v>1</v>
      </c>
    </row>
    <row r="211">
      <c r="A211" t="str">
        <v>92286</v>
      </c>
      <c r="B211" t="str">
        <v>Zinc(Zn), Blood</v>
      </c>
      <c r="C211" t="str">
        <v>32108</v>
      </c>
      <c r="D211">
        <v>120</v>
      </c>
      <c r="F211">
        <v>0</v>
      </c>
      <c r="H211">
        <v>0</v>
      </c>
      <c r="J211">
        <v>0</v>
      </c>
      <c r="L211">
        <v>1</v>
      </c>
      <c r="N211">
        <v>0</v>
      </c>
      <c r="P211">
        <v>0</v>
      </c>
      <c r="AC211">
        <f>SUM(F211,H211,J211,L211,N211,P211,R211,T211,V211,X211,Z211,AB211)</f>
        <v>1</v>
      </c>
    </row>
    <row r="212">
      <c r="A212" t="str">
        <v>97160</v>
      </c>
      <c r="B212" t="str">
        <v>Paraneoplastic screening - CSF (BPL)</v>
      </c>
      <c r="D212">
        <v>2500</v>
      </c>
      <c r="F212">
        <v>0</v>
      </c>
      <c r="H212">
        <v>0</v>
      </c>
      <c r="J212">
        <v>0</v>
      </c>
      <c r="L212">
        <v>0</v>
      </c>
      <c r="N212">
        <v>1</v>
      </c>
      <c r="P212">
        <v>0</v>
      </c>
      <c r="AC212">
        <f>SUM(F212,H212,J212,L212,N212,P212,R212,T212,V212,X212,Z212,AB212)</f>
        <v>1</v>
      </c>
    </row>
    <row r="213">
      <c r="A213" t="str">
        <v>98067</v>
      </c>
      <c r="B213" t="str">
        <v>IA2 (Islet antibody)</v>
      </c>
      <c r="D213">
        <v>1710</v>
      </c>
      <c r="F213">
        <v>2</v>
      </c>
      <c r="H213">
        <v>1</v>
      </c>
      <c r="J213">
        <v>2</v>
      </c>
      <c r="L213">
        <v>1</v>
      </c>
      <c r="N213">
        <v>1</v>
      </c>
      <c r="P213">
        <v>0</v>
      </c>
      <c r="AC213">
        <f>SUM(F213,H213,J213,L213,N213,P213,R213,T213,V213,X213,Z213,AB213)</f>
        <v>7</v>
      </c>
    </row>
    <row r="214">
      <c r="A214" t="str">
        <v>92069</v>
      </c>
      <c r="B214" t="str">
        <v>Beta-Crosslaps</v>
      </c>
      <c r="C214" t="str">
        <v>37254</v>
      </c>
      <c r="D214">
        <v>450</v>
      </c>
      <c r="F214">
        <v>1</v>
      </c>
      <c r="H214">
        <v>0</v>
      </c>
      <c r="J214">
        <v>0</v>
      </c>
      <c r="L214">
        <v>0</v>
      </c>
      <c r="N214">
        <v>0</v>
      </c>
      <c r="P214">
        <v>1</v>
      </c>
      <c r="AC214">
        <f>SUM(F214,H214,J214,L214,N214,P214,R214,T214,V214,X214,Z214,AB214)</f>
        <v>2</v>
      </c>
    </row>
    <row r="215">
      <c r="A215" t="str">
        <v>98076</v>
      </c>
      <c r="B215" t="str">
        <v>Citrate , Urine</v>
      </c>
      <c r="C215" t="str">
        <v>34124</v>
      </c>
      <c r="D215">
        <v>1000</v>
      </c>
      <c r="F215">
        <v>0</v>
      </c>
      <c r="H215">
        <v>0</v>
      </c>
      <c r="J215">
        <v>1</v>
      </c>
      <c r="L215">
        <v>0</v>
      </c>
      <c r="N215">
        <v>0</v>
      </c>
      <c r="P215">
        <v>0</v>
      </c>
      <c r="AC215">
        <f>SUM(F215,H215,J215,L215,N215,P215,R215,T215,V215,X215,Z215,AB215)</f>
        <v>1</v>
      </c>
    </row>
    <row r="216">
      <c r="A216" t="str">
        <v>95028</v>
      </c>
      <c r="B216" t="str">
        <v>ADAM TS-13 activity</v>
      </c>
      <c r="D216">
        <v>2000</v>
      </c>
      <c r="F216">
        <v>1</v>
      </c>
      <c r="H216">
        <v>0</v>
      </c>
      <c r="J216">
        <v>0</v>
      </c>
      <c r="L216">
        <v>1</v>
      </c>
      <c r="N216">
        <v>2</v>
      </c>
      <c r="P216">
        <v>0</v>
      </c>
      <c r="AC216">
        <f>SUM(F216,H216,J216,L216,N216,P216,R216,T216,V216,X216,Z216,AB216)</f>
        <v>4</v>
      </c>
    </row>
    <row r="217">
      <c r="A217" t="str">
        <v>97182</v>
      </c>
      <c r="B217" t="str">
        <v>Weil felix test</v>
      </c>
      <c r="D217">
        <v>85</v>
      </c>
      <c r="F217">
        <v>0</v>
      </c>
      <c r="H217">
        <v>1</v>
      </c>
      <c r="J217">
        <v>0</v>
      </c>
      <c r="L217">
        <v>0</v>
      </c>
      <c r="N217">
        <v>2</v>
      </c>
      <c r="P217">
        <v>1</v>
      </c>
      <c r="AC217">
        <f>SUM(F217,H217,J217,L217,N217,P217,R217,T217,V217,X217,Z217,AB217)</f>
        <v>4</v>
      </c>
    </row>
    <row r="218">
      <c r="A218" t="str">
        <v>97181</v>
      </c>
      <c r="B218" t="str">
        <v>Widal test</v>
      </c>
      <c r="D218">
        <v>100</v>
      </c>
      <c r="F218">
        <v>0</v>
      </c>
      <c r="H218">
        <v>0</v>
      </c>
      <c r="J218">
        <v>1</v>
      </c>
      <c r="L218">
        <v>0</v>
      </c>
      <c r="N218">
        <v>1</v>
      </c>
      <c r="P218">
        <v>1</v>
      </c>
      <c r="AC218">
        <f>SUM(F218,H218,J218,L218,N218,P218,R218,T218,V218,X218,Z218,AB218)</f>
        <v>3</v>
      </c>
    </row>
    <row r="219">
      <c r="A219" t="str">
        <v>97083</v>
      </c>
      <c r="B219" t="str">
        <v>HE4/CA125</v>
      </c>
      <c r="D219">
        <v>1000</v>
      </c>
      <c r="F219">
        <v>1</v>
      </c>
      <c r="H219">
        <v>0</v>
      </c>
      <c r="J219">
        <v>0</v>
      </c>
      <c r="L219">
        <v>0</v>
      </c>
      <c r="N219">
        <v>0</v>
      </c>
      <c r="P219">
        <v>1</v>
      </c>
      <c r="AC219">
        <f>SUM(F219,H219,J219,L219,N219,P219,R219,T219,V219,X219,Z219,AB219)</f>
        <v>2</v>
      </c>
    </row>
    <row r="220">
      <c r="A220" t="str">
        <v>92067</v>
      </c>
      <c r="B220" t="str">
        <v>Benzodiazepine ,Blood (Diazepam)</v>
      </c>
      <c r="D220">
        <v>250</v>
      </c>
      <c r="F220">
        <v>0</v>
      </c>
      <c r="H220">
        <v>0</v>
      </c>
      <c r="J220">
        <v>0</v>
      </c>
      <c r="L220">
        <v>0</v>
      </c>
      <c r="N220">
        <v>0</v>
      </c>
      <c r="P220">
        <v>0</v>
      </c>
      <c r="AC220">
        <f>SUM(F220,H220,J220,L220,N220,P220,R220,T220,V220,X220,Z220,AB220)</f>
        <v>0</v>
      </c>
    </row>
    <row r="221">
      <c r="A221" t="str">
        <v>98024</v>
      </c>
      <c r="B221" t="str">
        <v>IgE, Total (ส่งรามา)</v>
      </c>
      <c r="C221" t="str">
        <v>37350</v>
      </c>
      <c r="D221">
        <v>280</v>
      </c>
      <c r="F221">
        <v>0</v>
      </c>
      <c r="H221">
        <v>0</v>
      </c>
      <c r="J221">
        <v>0</v>
      </c>
      <c r="L221">
        <v>0</v>
      </c>
      <c r="N221">
        <v>0</v>
      </c>
      <c r="P221">
        <v>0</v>
      </c>
      <c r="AC221">
        <f>SUM(F221,H221,J221,L221,N221,P221,R221,T221,V221,X221,Z221,AB221)</f>
        <v>0</v>
      </c>
    </row>
    <row r="222">
      <c r="A222" t="str">
        <v>98036</v>
      </c>
      <c r="B222" t="str">
        <v>AFP (Body fluid) (ส่งรามา)</v>
      </c>
      <c r="C222" t="str">
        <v>37302</v>
      </c>
      <c r="D222">
        <v>200</v>
      </c>
      <c r="F222">
        <v>0</v>
      </c>
      <c r="H222">
        <v>0</v>
      </c>
      <c r="J222">
        <v>0</v>
      </c>
      <c r="L222">
        <v>1</v>
      </c>
      <c r="N222">
        <v>0</v>
      </c>
      <c r="P222">
        <v>0</v>
      </c>
      <c r="AC222">
        <f>SUM(F222,H222,J222,L222,N222,P222,R222,T222,V222,X222,Z222,AB222)</f>
        <v>1</v>
      </c>
    </row>
    <row r="223">
      <c r="A223" t="str">
        <v>97267</v>
      </c>
      <c r="B223" t="str">
        <v>Postnatal Chromosome microarray ,blood</v>
      </c>
      <c r="D223">
        <v>21600</v>
      </c>
      <c r="F223">
        <v>0</v>
      </c>
      <c r="H223">
        <v>0</v>
      </c>
      <c r="J223">
        <v>0</v>
      </c>
      <c r="L223">
        <v>0</v>
      </c>
      <c r="N223">
        <v>0</v>
      </c>
      <c r="P223">
        <v>0</v>
      </c>
      <c r="AC223">
        <f>SUM(F223,H223,J223,L223,N223,P223,R223,T223,V223,X223,Z223,AB223)</f>
        <v>0</v>
      </c>
    </row>
    <row r="224">
      <c r="A224" t="str">
        <v>98037</v>
      </c>
      <c r="B224" t="str">
        <v>Beta-HCG (ส่งรามา)</v>
      </c>
      <c r="C224" t="str">
        <v>37303</v>
      </c>
      <c r="D224">
        <v>200</v>
      </c>
      <c r="F224">
        <v>0</v>
      </c>
      <c r="H224">
        <v>0</v>
      </c>
      <c r="J224">
        <v>0</v>
      </c>
      <c r="L224">
        <v>1</v>
      </c>
      <c r="N224">
        <v>0</v>
      </c>
      <c r="P224">
        <v>0</v>
      </c>
      <c r="AC224">
        <f>SUM(F224,H224,J224,L224,N224,P224,R224,T224,V224,X224,Z224,AB224)</f>
        <v>1</v>
      </c>
    </row>
    <row r="225">
      <c r="A225" t="str">
        <v>95027</v>
      </c>
      <c r="B225" t="str">
        <v>Anti-nRNP</v>
      </c>
      <c r="C225" t="str">
        <v>37008</v>
      </c>
      <c r="D225">
        <v>250</v>
      </c>
      <c r="F225">
        <v>0</v>
      </c>
      <c r="H225">
        <v>0</v>
      </c>
      <c r="J225">
        <v>0</v>
      </c>
      <c r="L225">
        <v>0</v>
      </c>
      <c r="N225">
        <v>0</v>
      </c>
      <c r="P225">
        <v>0</v>
      </c>
      <c r="AC225">
        <f>SUM(F225,H225,J225,L225,N225,P225,R225,T225,V225,X225,Z225,AB225)</f>
        <v>0</v>
      </c>
    </row>
    <row r="226">
      <c r="A226" t="str">
        <v>97128</v>
      </c>
      <c r="B226" t="str">
        <v>G-6-PD Quantitative [BPL]</v>
      </c>
      <c r="D226">
        <v>230</v>
      </c>
      <c r="F226">
        <v>0</v>
      </c>
      <c r="H226">
        <v>0</v>
      </c>
      <c r="J226">
        <v>1</v>
      </c>
      <c r="L226">
        <v>1</v>
      </c>
      <c r="N226">
        <v>0</v>
      </c>
      <c r="P226">
        <v>1</v>
      </c>
      <c r="AC226">
        <f>SUM(F226,H226,J226,L226,N226,P226,R226,T226,V226,X226,Z226,AB226)</f>
        <v>3</v>
      </c>
    </row>
    <row r="227">
      <c r="A227" t="str">
        <v>97179</v>
      </c>
      <c r="B227" t="str">
        <v>Saccharomyces cerevisiae antibody (ASCA)</v>
      </c>
      <c r="D227">
        <v>4800</v>
      </c>
      <c r="F227">
        <v>0</v>
      </c>
      <c r="H227">
        <v>0</v>
      </c>
      <c r="J227">
        <v>0</v>
      </c>
      <c r="L227">
        <v>0</v>
      </c>
      <c r="N227">
        <v>0</v>
      </c>
      <c r="P227">
        <v>0</v>
      </c>
      <c r="AC227">
        <f>SUM(F227,H227,J227,L227,N227,P227,R227,T227,V227,X227,Z227,AB227)</f>
        <v>0</v>
      </c>
    </row>
    <row r="228">
      <c r="A228" t="str">
        <v>97246</v>
      </c>
      <c r="B228" t="str">
        <v>Leukemia - RQ-PCR for BCR/ABL (Bone marrow)(BPL)</v>
      </c>
      <c r="D228">
        <v>5750</v>
      </c>
      <c r="F228">
        <v>0</v>
      </c>
      <c r="H228">
        <v>0</v>
      </c>
      <c r="J228">
        <v>0</v>
      </c>
      <c r="L228">
        <v>0</v>
      </c>
      <c r="N228">
        <v>0</v>
      </c>
      <c r="P228">
        <v>1</v>
      </c>
      <c r="AC228">
        <f>SUM(F228,H228,J228,L228,N228,P228,R228,T228,V228,X228,Z228,AB228)</f>
        <v>1</v>
      </c>
    </row>
    <row r="229">
      <c r="A229" t="str">
        <v>98050</v>
      </c>
      <c r="B229" t="str">
        <v>Vitamin A (Retinol)</v>
      </c>
      <c r="C229" t="str">
        <v>32409</v>
      </c>
      <c r="D229">
        <v>750</v>
      </c>
      <c r="F229">
        <v>0</v>
      </c>
      <c r="H229">
        <v>0</v>
      </c>
      <c r="J229">
        <v>0</v>
      </c>
      <c r="L229">
        <v>0</v>
      </c>
      <c r="N229">
        <v>0</v>
      </c>
      <c r="P229">
        <v>0</v>
      </c>
      <c r="AC229">
        <f>SUM(F229,H229,J229,L229,N229,P229,R229,T229,V229,X229,Z229,AB229)</f>
        <v>0</v>
      </c>
    </row>
    <row r="230">
      <c r="A230" t="str">
        <v>92223</v>
      </c>
      <c r="B230" t="str">
        <v>Organnophosphate, Gastric content</v>
      </c>
      <c r="D230">
        <v>120</v>
      </c>
      <c r="F230">
        <v>0</v>
      </c>
      <c r="H230">
        <v>0</v>
      </c>
      <c r="J230">
        <v>0</v>
      </c>
      <c r="L230">
        <v>0</v>
      </c>
      <c r="N230">
        <v>0</v>
      </c>
      <c r="P230">
        <v>0</v>
      </c>
      <c r="AC230">
        <f>SUM(F230,H230,J230,L230,N230,P230,R230,T230,V230,X230,Z230,AB230)</f>
        <v>0</v>
      </c>
    </row>
    <row r="231">
      <c r="A231" t="str">
        <v>97026</v>
      </c>
      <c r="B231" t="str">
        <v>Alpha 1-Antitrypsin (Stool)</v>
      </c>
      <c r="C231" t="str">
        <v>37250</v>
      </c>
      <c r="D231">
        <v>400</v>
      </c>
      <c r="F231">
        <v>0</v>
      </c>
      <c r="H231">
        <v>0</v>
      </c>
      <c r="J231">
        <v>0</v>
      </c>
      <c r="L231">
        <v>0</v>
      </c>
      <c r="N231">
        <v>0</v>
      </c>
      <c r="P231">
        <v>0</v>
      </c>
      <c r="AC231">
        <f>SUM(F231,H231,J231,L231,N231,P231,R231,T231,V231,X231,Z231,AB231)</f>
        <v>0</v>
      </c>
    </row>
    <row r="232">
      <c r="A232" t="str">
        <v>92189</v>
      </c>
      <c r="B232" t="str">
        <v>JE (Japanese encephalitis) Ab., IgM (serum)</v>
      </c>
      <c r="C232" t="str">
        <v>36620</v>
      </c>
      <c r="D232">
        <v>250</v>
      </c>
      <c r="F232">
        <v>0</v>
      </c>
      <c r="H232">
        <v>0</v>
      </c>
      <c r="J232">
        <v>0</v>
      </c>
      <c r="L232">
        <v>0</v>
      </c>
      <c r="N232">
        <v>0</v>
      </c>
      <c r="P232">
        <v>0</v>
      </c>
      <c r="AC232">
        <f>SUM(F232,H232,J232,L232,N232,P232,R232,T232,V232,X232,Z232,AB232)</f>
        <v>0</v>
      </c>
    </row>
    <row r="233">
      <c r="A233" t="str">
        <v>97233</v>
      </c>
      <c r="B233" t="str">
        <v>NTM (Rapid grower):AST (MIC 15 drugs)</v>
      </c>
      <c r="D233">
        <v>1900</v>
      </c>
      <c r="F233">
        <v>0</v>
      </c>
      <c r="H233">
        <v>0</v>
      </c>
      <c r="J233">
        <v>0</v>
      </c>
      <c r="L233">
        <v>0</v>
      </c>
      <c r="N233">
        <v>0</v>
      </c>
      <c r="P233">
        <v>0</v>
      </c>
      <c r="AC233">
        <f>SUM(F233,H233,J233,L233,N233,P233,R233,T233,V233,X233,Z233,AB233)</f>
        <v>0</v>
      </c>
    </row>
    <row r="234">
      <c r="A234" t="str">
        <v>97172</v>
      </c>
      <c r="B234" t="str">
        <v>Malaria antigen (rapid test)</v>
      </c>
      <c r="D234">
        <v>50</v>
      </c>
      <c r="F234">
        <v>0</v>
      </c>
      <c r="H234">
        <v>0</v>
      </c>
      <c r="J234">
        <v>0</v>
      </c>
      <c r="L234">
        <v>0</v>
      </c>
      <c r="N234">
        <v>0</v>
      </c>
      <c r="P234">
        <v>0</v>
      </c>
      <c r="AC234">
        <f>SUM(F234,H234,J234,L234,N234,P234,R234,T234,V234,X234,Z234,AB234)</f>
        <v>0</v>
      </c>
    </row>
    <row r="235">
      <c r="A235" t="str">
        <v>97232</v>
      </c>
      <c r="B235" t="str">
        <v>Viscosity (serum)</v>
      </c>
      <c r="C235" t="str">
        <v>30316</v>
      </c>
      <c r="D235">
        <v>333</v>
      </c>
      <c r="F235">
        <v>0</v>
      </c>
      <c r="H235">
        <v>0</v>
      </c>
      <c r="J235">
        <v>0</v>
      </c>
      <c r="L235">
        <v>0</v>
      </c>
      <c r="N235">
        <v>0</v>
      </c>
      <c r="P235">
        <v>0</v>
      </c>
      <c r="AC235">
        <f>SUM(F235,H235,J235,L235,N235,P235,R235,T235,V235,X235,Z235,AB235)</f>
        <v>0</v>
      </c>
    </row>
    <row r="236">
      <c r="A236" t="str">
        <v>98041</v>
      </c>
      <c r="B236" t="str">
        <v>Factor XI Level</v>
      </c>
      <c r="C236" t="str">
        <v>30224</v>
      </c>
      <c r="D236">
        <v>1500</v>
      </c>
      <c r="F236">
        <v>0</v>
      </c>
      <c r="H236">
        <v>0</v>
      </c>
      <c r="J236">
        <v>0</v>
      </c>
      <c r="L236">
        <v>0</v>
      </c>
      <c r="N236">
        <v>0</v>
      </c>
      <c r="P236">
        <v>0</v>
      </c>
      <c r="AC236">
        <f>SUM(F236,H236,J236,L236,N236,P236,R236,T236,V236,X236,Z236,AB236)</f>
        <v>0</v>
      </c>
    </row>
    <row r="237">
      <c r="A237" t="str">
        <v>98082</v>
      </c>
      <c r="B237" t="str">
        <v>Mycobacteria AST for Slow growing non-tuberculous mycobacteria (MIC for 13 drugs)</v>
      </c>
      <c r="D237">
        <v>2800</v>
      </c>
      <c r="F237">
        <v>1</v>
      </c>
      <c r="H237">
        <v>2</v>
      </c>
      <c r="J237">
        <v>1</v>
      </c>
      <c r="L237">
        <v>1</v>
      </c>
      <c r="N237">
        <v>1</v>
      </c>
      <c r="P237">
        <v>0</v>
      </c>
      <c r="AC237">
        <f>SUM(F237,H237,J237,L237,N237,P237,R237,T237,V237,X237,Z237,AB237)</f>
        <v>6</v>
      </c>
    </row>
    <row r="238">
      <c r="A238" t="str">
        <v>92108</v>
      </c>
      <c r="B238" t="str">
        <v>Cyanide(Cn), blood</v>
      </c>
      <c r="C238" t="str">
        <v>33515</v>
      </c>
      <c r="D238">
        <v>200</v>
      </c>
      <c r="F238">
        <v>0</v>
      </c>
      <c r="H238">
        <v>0</v>
      </c>
      <c r="J238">
        <v>0</v>
      </c>
      <c r="L238">
        <v>0</v>
      </c>
      <c r="N238">
        <v>0</v>
      </c>
      <c r="P238">
        <v>0</v>
      </c>
      <c r="AC238">
        <f>SUM(F238,H238,J238,L238,N238,P238,R238,T238,V238,X238,Z238,AB238)</f>
        <v>0</v>
      </c>
    </row>
    <row r="239">
      <c r="A239" t="str">
        <v>95032</v>
      </c>
      <c r="B239" t="str">
        <v>Prothrombin 20210 Gene Mutation</v>
      </c>
      <c r="C239" t="str">
        <v>30237</v>
      </c>
      <c r="D239">
        <v>1100</v>
      </c>
      <c r="F239">
        <v>0</v>
      </c>
      <c r="H239">
        <v>0</v>
      </c>
      <c r="J239">
        <v>0</v>
      </c>
      <c r="L239">
        <v>0</v>
      </c>
      <c r="N239">
        <v>0</v>
      </c>
      <c r="P239">
        <v>0</v>
      </c>
      <c r="AC239">
        <f>SUM(F239,H239,J239,L239,N239,P239,R239,T239,V239,X239,Z239,AB239)</f>
        <v>0</v>
      </c>
    </row>
    <row r="240">
      <c r="A240" t="str">
        <v>97213</v>
      </c>
      <c r="B240" t="str">
        <v>Anti parietal cell antibody</v>
      </c>
      <c r="D240">
        <v>3200</v>
      </c>
      <c r="F240">
        <v>0</v>
      </c>
      <c r="H240">
        <v>0</v>
      </c>
      <c r="J240">
        <v>0</v>
      </c>
      <c r="L240">
        <v>0</v>
      </c>
      <c r="N240">
        <v>0</v>
      </c>
      <c r="P240">
        <v>0</v>
      </c>
      <c r="AC240">
        <f>SUM(F240,H240,J240,L240,N240,P240,R240,T240,V240,X240,Z240,AB240)</f>
        <v>0</v>
      </c>
    </row>
    <row r="241">
      <c r="A241" t="str">
        <v>98096</v>
      </c>
      <c r="B241" t="str">
        <v>Nitrate,Nitrite (ศิริราช)</v>
      </c>
      <c r="D241">
        <v>193</v>
      </c>
      <c r="F241">
        <v>0</v>
      </c>
      <c r="H241">
        <v>0</v>
      </c>
      <c r="J241">
        <v>0</v>
      </c>
      <c r="L241">
        <v>0</v>
      </c>
      <c r="N241">
        <v>0</v>
      </c>
      <c r="P241">
        <v>0</v>
      </c>
      <c r="AC241">
        <f>SUM(F241,H241,J241,L241,N241,P241,R241,T241,V241,X241,Z241,AB241)</f>
        <v>0</v>
      </c>
    </row>
    <row r="242">
      <c r="A242" t="str">
        <v>98073</v>
      </c>
      <c r="B242" t="str">
        <v>Flowcytometry : MRD, B-ALL Panel (ส่งรามาฯ)</v>
      </c>
      <c r="D242">
        <v>3800</v>
      </c>
      <c r="F242">
        <v>0</v>
      </c>
      <c r="H242">
        <v>0</v>
      </c>
      <c r="J242">
        <v>0</v>
      </c>
      <c r="L242">
        <v>0</v>
      </c>
      <c r="N242">
        <v>0</v>
      </c>
      <c r="P242">
        <v>1</v>
      </c>
      <c r="AC242">
        <f>SUM(F242,H242,J242,L242,N242,P242,R242,T242,V242,X242,Z242,AB242)</f>
        <v>1</v>
      </c>
    </row>
    <row r="243">
      <c r="A243" t="str">
        <v>92065</v>
      </c>
      <c r="B243" t="str">
        <v>Benzene(Phenylglucuronide) ( Total Phenol )</v>
      </c>
      <c r="D243">
        <v>250</v>
      </c>
      <c r="F243">
        <v>0</v>
      </c>
      <c r="H243">
        <v>0</v>
      </c>
      <c r="J243">
        <v>0</v>
      </c>
      <c r="L243">
        <v>0</v>
      </c>
      <c r="N243">
        <v>0</v>
      </c>
      <c r="P243">
        <v>0</v>
      </c>
      <c r="AC243">
        <f>SUM(F243,H243,J243,L243,N243,P243,R243,T243,V243,X243,Z243,AB243)</f>
        <v>0</v>
      </c>
    </row>
    <row r="244">
      <c r="A244" t="str">
        <v>97165</v>
      </c>
      <c r="B244" t="str">
        <v>Anti-MOG-CSF</v>
      </c>
      <c r="D244">
        <v>1260</v>
      </c>
      <c r="F244">
        <v>0</v>
      </c>
      <c r="H244">
        <v>0</v>
      </c>
      <c r="J244">
        <v>0</v>
      </c>
      <c r="L244">
        <v>0</v>
      </c>
      <c r="N244">
        <v>0</v>
      </c>
      <c r="P244">
        <v>0</v>
      </c>
      <c r="AC244">
        <f>SUM(F244,H244,J244,L244,N244,P244,R244,T244,V244,X244,Z244,AB244)</f>
        <v>0</v>
      </c>
    </row>
    <row r="245">
      <c r="A245" t="str">
        <v>98079</v>
      </c>
      <c r="B245" t="str">
        <v>Beta D Glucan</v>
      </c>
      <c r="D245">
        <v>5625</v>
      </c>
      <c r="F245">
        <v>0</v>
      </c>
      <c r="H245">
        <v>0</v>
      </c>
      <c r="J245">
        <v>0</v>
      </c>
      <c r="L245">
        <v>0</v>
      </c>
      <c r="N245">
        <v>0</v>
      </c>
      <c r="P245">
        <v>0</v>
      </c>
      <c r="AC245">
        <f>SUM(F245,H245,J245,L245,N245,P245,R245,T245,V245,X245,Z245,AB245)</f>
        <v>0</v>
      </c>
    </row>
    <row r="246">
      <c r="A246" t="str">
        <v>92080</v>
      </c>
      <c r="B246" t="str">
        <v>Carbamate, Urine</v>
      </c>
      <c r="D246">
        <v>200</v>
      </c>
      <c r="F246">
        <v>0</v>
      </c>
      <c r="H246">
        <v>0</v>
      </c>
      <c r="J246">
        <v>0</v>
      </c>
      <c r="L246">
        <v>0</v>
      </c>
      <c r="N246">
        <v>0</v>
      </c>
      <c r="P246">
        <v>0</v>
      </c>
      <c r="AC246">
        <f>SUM(F246,H246,J246,L246,N246,P246,R246,T246,V246,X246,Z246,AB246)</f>
        <v>0</v>
      </c>
    </row>
    <row r="247">
      <c r="A247" t="str">
        <v>97214</v>
      </c>
      <c r="B247" t="str">
        <v>Anti intrinsic factor</v>
      </c>
      <c r="D247">
        <v>3600</v>
      </c>
      <c r="F247">
        <v>0</v>
      </c>
      <c r="H247">
        <v>0</v>
      </c>
      <c r="J247">
        <v>0</v>
      </c>
      <c r="L247">
        <v>0</v>
      </c>
      <c r="N247">
        <v>0</v>
      </c>
      <c r="P247">
        <v>0</v>
      </c>
      <c r="AC247">
        <f>SUM(F247,H247,J247,L247,N247,P247,R247,T247,V247,X247,Z247,AB247)</f>
        <v>0</v>
      </c>
    </row>
    <row r="248">
      <c r="A248" t="str">
        <v>92032</v>
      </c>
      <c r="B248" t="str">
        <v>EBNA Ab. (serum)</v>
      </c>
      <c r="D248">
        <v>450</v>
      </c>
      <c r="F248">
        <v>3</v>
      </c>
      <c r="H248">
        <v>1</v>
      </c>
      <c r="J248">
        <v>2</v>
      </c>
      <c r="L248">
        <v>2</v>
      </c>
      <c r="N248">
        <v>1</v>
      </c>
      <c r="P248">
        <v>0</v>
      </c>
      <c r="AC248">
        <f>SUM(F248,H248,J248,L248,N248,P248,R248,T248,V248,X248,Z248,AB248)</f>
        <v>9</v>
      </c>
    </row>
    <row r="249">
      <c r="A249" t="str">
        <v>98075</v>
      </c>
      <c r="B249" t="str">
        <v>Oxalate, Urine</v>
      </c>
      <c r="C249" t="str">
        <v>34125</v>
      </c>
      <c r="D249">
        <v>1800</v>
      </c>
      <c r="F249">
        <v>0</v>
      </c>
      <c r="H249">
        <v>0</v>
      </c>
      <c r="J249">
        <v>0</v>
      </c>
      <c r="L249">
        <v>0</v>
      </c>
      <c r="N249">
        <v>0</v>
      </c>
      <c r="P249">
        <v>0</v>
      </c>
      <c r="AC249">
        <f>SUM(F249,H249,J249,L249,N249,P249,R249,T249,V249,X249,Z249,AB249)</f>
        <v>0</v>
      </c>
    </row>
    <row r="250">
      <c r="A250" t="str">
        <v>95073</v>
      </c>
      <c r="B250" t="str">
        <v>Flowcytometry:PNH panel (ส่ง NGD)</v>
      </c>
      <c r="D250">
        <v>2000</v>
      </c>
      <c r="F250">
        <v>0</v>
      </c>
      <c r="H250">
        <v>0</v>
      </c>
      <c r="J250">
        <v>0</v>
      </c>
      <c r="L250">
        <v>0</v>
      </c>
      <c r="N250">
        <v>0</v>
      </c>
      <c r="P250">
        <v>1</v>
      </c>
      <c r="AC250">
        <f>SUM(F250,H250,J250,L250,N250,P250,R250,T250,V250,X250,Z250,AB250)</f>
        <v>1</v>
      </c>
    </row>
    <row r="251">
      <c r="A251" t="str">
        <v>92068</v>
      </c>
      <c r="B251" t="str">
        <v>Benzodiazepine,Urine</v>
      </c>
      <c r="C251" t="str">
        <v>33123</v>
      </c>
      <c r="D251">
        <v>100</v>
      </c>
      <c r="F251">
        <v>0</v>
      </c>
      <c r="H251">
        <v>0</v>
      </c>
      <c r="J251">
        <v>0</v>
      </c>
      <c r="L251">
        <v>0</v>
      </c>
      <c r="N251">
        <v>0</v>
      </c>
      <c r="P251">
        <v>0</v>
      </c>
      <c r="AC251">
        <f>SUM(F251,H251,J251,L251,N251,P251,R251,T251,V251,X251,Z251,AB251)</f>
        <v>0</v>
      </c>
    </row>
    <row r="252">
      <c r="A252" t="str">
        <v>92098</v>
      </c>
      <c r="B252" t="str">
        <v>Screening for Basic drugs and drug abuse</v>
      </c>
      <c r="D252">
        <v>2800</v>
      </c>
      <c r="F252">
        <v>0</v>
      </c>
      <c r="H252">
        <v>0</v>
      </c>
      <c r="J252">
        <v>0</v>
      </c>
      <c r="L252">
        <v>0</v>
      </c>
      <c r="N252">
        <v>0</v>
      </c>
      <c r="P252">
        <v>0</v>
      </c>
      <c r="AC252">
        <f>SUM(F252,H252,J252,L252,N252,P252,R252,T252,V252,X252,Z252,AB252)</f>
        <v>0</v>
      </c>
    </row>
    <row r="253">
      <c r="A253" t="str">
        <v>97239</v>
      </c>
      <c r="B253" t="str">
        <v>Methyl Isobutyl Ketone(MIBK)</v>
      </c>
      <c r="D253">
        <v>300</v>
      </c>
      <c r="F253">
        <v>0</v>
      </c>
      <c r="H253">
        <v>0</v>
      </c>
      <c r="J253">
        <v>0</v>
      </c>
      <c r="L253">
        <v>0</v>
      </c>
      <c r="N253">
        <v>0</v>
      </c>
      <c r="P253">
        <v>0</v>
      </c>
      <c r="AC253">
        <f>SUM(F253,H253,J253,L253,N253,P253,R253,T253,V253,X253,Z253,AB253)</f>
        <v>0</v>
      </c>
    </row>
    <row r="254">
      <c r="A254" t="str">
        <v>97019</v>
      </c>
      <c r="B254" t="str">
        <v>Paraneoplastic screening - Serum (BPL)</v>
      </c>
      <c r="D254">
        <v>2500</v>
      </c>
      <c r="F254">
        <v>0</v>
      </c>
      <c r="H254">
        <v>1</v>
      </c>
      <c r="J254">
        <v>1</v>
      </c>
      <c r="L254">
        <v>0</v>
      </c>
      <c r="N254">
        <v>2</v>
      </c>
      <c r="P254">
        <v>0</v>
      </c>
      <c r="AC254">
        <f>SUM(F254,H254,J254,L254,N254,P254,R254,T254,V254,X254,Z254,AB254)</f>
        <v>4</v>
      </c>
    </row>
    <row r="255">
      <c r="A255" t="str">
        <v>97148</v>
      </c>
      <c r="B255" t="str">
        <v>Flow cytometry : NHL panel (ส่ง NGD)</v>
      </c>
      <c r="D255">
        <v>3500</v>
      </c>
      <c r="F255">
        <v>0</v>
      </c>
      <c r="H255">
        <v>0</v>
      </c>
      <c r="J255">
        <v>0</v>
      </c>
      <c r="L255">
        <v>0</v>
      </c>
      <c r="N255">
        <v>2</v>
      </c>
      <c r="P255">
        <v>1</v>
      </c>
      <c r="AC255">
        <f>SUM(F255,H255,J255,L255,N255,P255,R255,T255,V255,X255,Z255,AB255)</f>
        <v>3</v>
      </c>
    </row>
    <row r="256">
      <c r="A256" t="str">
        <v>92153</v>
      </c>
      <c r="B256" t="str">
        <v>Haptoglobin</v>
      </c>
      <c r="C256" t="str">
        <v>30317</v>
      </c>
      <c r="D256">
        <v>200</v>
      </c>
      <c r="F256">
        <v>0</v>
      </c>
      <c r="H256">
        <v>0</v>
      </c>
      <c r="J256">
        <v>0</v>
      </c>
      <c r="L256">
        <v>0</v>
      </c>
      <c r="N256">
        <v>1</v>
      </c>
      <c r="P256">
        <v>1</v>
      </c>
      <c r="AC256">
        <f>SUM(F256,H256,J256,L256,N256,P256,R256,T256,V256,X256,Z256,AB256)</f>
        <v>2</v>
      </c>
    </row>
    <row r="257">
      <c r="A257" t="str">
        <v>97162</v>
      </c>
      <c r="B257" t="str">
        <v>Autoimmune cerebellar degeneration-Serum</v>
      </c>
      <c r="D257">
        <v>3200</v>
      </c>
      <c r="F257">
        <v>1</v>
      </c>
      <c r="H257">
        <v>0</v>
      </c>
      <c r="J257">
        <v>0</v>
      </c>
      <c r="L257">
        <v>0</v>
      </c>
      <c r="N257">
        <v>0</v>
      </c>
      <c r="P257">
        <v>0</v>
      </c>
      <c r="AC257">
        <f>SUM(F257,H257,J257,L257,N257,P257,R257,T257,V257,X257,Z257,AB257)</f>
        <v>1</v>
      </c>
    </row>
    <row r="258">
      <c r="A258" t="str">
        <v>97251</v>
      </c>
      <c r="B258" t="str">
        <v>Methyl Ethyl Ketone (MEK)</v>
      </c>
      <c r="D258">
        <v>150</v>
      </c>
      <c r="F258">
        <v>0</v>
      </c>
      <c r="H258">
        <v>0</v>
      </c>
      <c r="J258">
        <v>1</v>
      </c>
      <c r="L258">
        <v>0</v>
      </c>
      <c r="N258">
        <v>0</v>
      </c>
      <c r="P258">
        <v>0</v>
      </c>
      <c r="AC258">
        <f>SUM(F258,H258,J258,L258,N258,P258,R258,T258,V258,X258,Z258,AB258)</f>
        <v>1</v>
      </c>
    </row>
    <row r="259">
      <c r="A259" t="str">
        <v>98043</v>
      </c>
      <c r="B259" t="str">
        <v>SARS-CoV-2 anti-Nucleocapsid IgG</v>
      </c>
      <c r="D259">
        <v>193</v>
      </c>
      <c r="F259">
        <v>0</v>
      </c>
      <c r="H259">
        <v>0</v>
      </c>
      <c r="J259">
        <v>0</v>
      </c>
      <c r="L259">
        <v>0</v>
      </c>
      <c r="N259">
        <v>0</v>
      </c>
      <c r="P259">
        <v>0</v>
      </c>
      <c r="AC259">
        <f>SUM(F259,H259,J259,L259,N259,P259,R259,T259,V259,X259,Z259,AB259)</f>
        <v>0</v>
      </c>
    </row>
    <row r="260">
      <c r="A260" t="str">
        <v>97158</v>
      </c>
      <c r="B260" t="str">
        <v>Total T4</v>
      </c>
      <c r="D260">
        <v>70</v>
      </c>
      <c r="F260">
        <v>0</v>
      </c>
      <c r="H260">
        <v>0</v>
      </c>
      <c r="J260">
        <v>0</v>
      </c>
      <c r="L260">
        <v>0</v>
      </c>
      <c r="N260">
        <v>0</v>
      </c>
      <c r="P260">
        <v>0</v>
      </c>
      <c r="AC260">
        <f>SUM(F260,H260,J260,L260,N260,P260,R260,T260,V260,X260,Z260,AB260)</f>
        <v>0</v>
      </c>
    </row>
    <row r="261">
      <c r="A261" t="str">
        <v>98042</v>
      </c>
      <c r="B261" t="str">
        <v>SAR-CoV-2 Spike specific IgG antibody, Quantitative</v>
      </c>
      <c r="D261">
        <v>193</v>
      </c>
      <c r="F261">
        <v>0</v>
      </c>
      <c r="H261">
        <v>0</v>
      </c>
      <c r="J261">
        <v>0</v>
      </c>
      <c r="L261">
        <v>0</v>
      </c>
      <c r="N261">
        <v>0</v>
      </c>
      <c r="P261">
        <v>0</v>
      </c>
      <c r="AC261">
        <f>SUM(F261,H261,J261,L261,N261,P261,R261,T261,V261,X261,Z261,AB261)</f>
        <v>0</v>
      </c>
    </row>
    <row r="262">
      <c r="A262" t="str">
        <v>97189</v>
      </c>
      <c r="B262" t="str">
        <v>SCA Type 1,2,3 Expansion</v>
      </c>
      <c r="D262">
        <v>2500</v>
      </c>
      <c r="F262">
        <v>0</v>
      </c>
      <c r="H262">
        <v>0</v>
      </c>
      <c r="J262">
        <v>0</v>
      </c>
      <c r="L262">
        <v>0</v>
      </c>
      <c r="N262">
        <v>0</v>
      </c>
      <c r="P262">
        <v>1</v>
      </c>
      <c r="AC262">
        <f>SUM(F262,H262,J262,L262,N262,P262,R262,T262,V262,X262,Z262,AB262)</f>
        <v>1</v>
      </c>
    </row>
    <row r="263">
      <c r="A263" t="str">
        <v>92339</v>
      </c>
      <c r="B263" t="str">
        <v>HSV Ab (Type I&amp;II) - Ig M (CSF)</v>
      </c>
      <c r="D263">
        <v>300</v>
      </c>
      <c r="F263">
        <v>0</v>
      </c>
      <c r="H263">
        <v>0</v>
      </c>
      <c r="J263">
        <v>0</v>
      </c>
      <c r="L263">
        <v>0</v>
      </c>
      <c r="N263">
        <v>0</v>
      </c>
      <c r="P263">
        <v>0</v>
      </c>
      <c r="AC263">
        <f>SUM(F263,H263,J263,L263,N263,P263,R263,T263,V263,X263,Z263,AB263)</f>
        <v>0</v>
      </c>
    </row>
    <row r="264">
      <c r="A264" t="str">
        <v>97021</v>
      </c>
      <c r="B264" t="str">
        <v>Antidepressents (Urine)</v>
      </c>
      <c r="C264" t="str">
        <v>33114</v>
      </c>
      <c r="D264">
        <v>300</v>
      </c>
      <c r="F264">
        <v>0</v>
      </c>
      <c r="H264">
        <v>0</v>
      </c>
      <c r="J264">
        <v>0</v>
      </c>
      <c r="L264">
        <v>0</v>
      </c>
      <c r="N264">
        <v>0</v>
      </c>
      <c r="P264">
        <v>0</v>
      </c>
      <c r="AC264">
        <f>SUM(F264,H264,J264,L264,N264,P264,R264,T264,V264,X264,Z264,AB264)</f>
        <v>0</v>
      </c>
    </row>
    <row r="265">
      <c r="A265" t="str">
        <v>97207</v>
      </c>
      <c r="B265" t="str">
        <v>Thiopurine methyltransferase (TPMT)</v>
      </c>
      <c r="D265">
        <v>2500</v>
      </c>
      <c r="F265">
        <v>0</v>
      </c>
      <c r="H265">
        <v>0</v>
      </c>
      <c r="J265">
        <v>0</v>
      </c>
      <c r="L265">
        <v>0</v>
      </c>
      <c r="N265">
        <v>0</v>
      </c>
      <c r="P265">
        <v>0</v>
      </c>
      <c r="AC265">
        <f>SUM(F265,H265,J265,L265,N265,P265,R265,T265,V265,X265,Z265,AB265)</f>
        <v>0</v>
      </c>
    </row>
    <row r="266">
      <c r="A266" t="str">
        <v>97176</v>
      </c>
      <c r="B266" t="str">
        <v>TPHA (Qualitative)(CSF)</v>
      </c>
      <c r="C266" t="str">
        <v>36006</v>
      </c>
      <c r="D266">
        <v>100</v>
      </c>
      <c r="F266">
        <v>0</v>
      </c>
      <c r="H266">
        <v>0</v>
      </c>
      <c r="J266">
        <v>0</v>
      </c>
      <c r="L266">
        <v>0</v>
      </c>
      <c r="N266">
        <v>0</v>
      </c>
      <c r="P266">
        <v>0</v>
      </c>
      <c r="AC266">
        <f>SUM(F266,H266,J266,L266,N266,P266,R266,T266,V266,X266,Z266,AB266)</f>
        <v>0</v>
      </c>
    </row>
    <row r="267">
      <c r="A267" t="str">
        <v>92338</v>
      </c>
      <c r="B267" t="str">
        <v>HSV Ab (Type I&amp;II) - IgG (CSF)</v>
      </c>
      <c r="D267">
        <v>300</v>
      </c>
      <c r="F267">
        <v>0</v>
      </c>
      <c r="H267">
        <v>0</v>
      </c>
      <c r="J267">
        <v>0</v>
      </c>
      <c r="L267">
        <v>0</v>
      </c>
      <c r="N267">
        <v>0</v>
      </c>
      <c r="P267">
        <v>0</v>
      </c>
      <c r="AC267">
        <f>SUM(F267,H267,J267,L267,N267,P267,R267,T267,V267,X267,Z267,AB267)</f>
        <v>0</v>
      </c>
    </row>
    <row r="268">
      <c r="A268" t="str">
        <v>92231</v>
      </c>
      <c r="B268" t="str">
        <v>Paraquat(Gramoxone),quantitaive, urine</v>
      </c>
      <c r="C268" t="str">
        <v>33605</v>
      </c>
      <c r="D268">
        <v>250</v>
      </c>
      <c r="F268">
        <v>0</v>
      </c>
      <c r="H268">
        <v>0</v>
      </c>
      <c r="J268">
        <v>0</v>
      </c>
      <c r="L268">
        <v>0</v>
      </c>
      <c r="N268">
        <v>0</v>
      </c>
      <c r="P268">
        <v>0</v>
      </c>
      <c r="AC268">
        <f>SUM(F268,H268,J268,L268,N268,P268,R268,T268,V268,X268,Z268,AB268)</f>
        <v>0</v>
      </c>
    </row>
    <row r="269">
      <c r="A269" t="str">
        <v>92190</v>
      </c>
      <c r="B269" t="str">
        <v>JE (Japanese encephalitis) Ab., IgM (CSF)</v>
      </c>
      <c r="D269">
        <v>250</v>
      </c>
      <c r="F269">
        <v>0</v>
      </c>
      <c r="H269">
        <v>0</v>
      </c>
      <c r="J269">
        <v>0</v>
      </c>
      <c r="L269">
        <v>0</v>
      </c>
      <c r="N269">
        <v>0</v>
      </c>
      <c r="P269">
        <v>0</v>
      </c>
      <c r="AC269">
        <f>SUM(F269,H269,J269,L269,N269,P269,R269,T269,V269,X269,Z269,AB269)</f>
        <v>0</v>
      </c>
    </row>
    <row r="270">
      <c r="A270" t="str">
        <v>95061</v>
      </c>
      <c r="B270" t="str">
        <v>Cocaine</v>
      </c>
      <c r="D270">
        <v>150</v>
      </c>
      <c r="F270">
        <v>0</v>
      </c>
      <c r="H270">
        <v>0</v>
      </c>
      <c r="J270">
        <v>0</v>
      </c>
      <c r="L270">
        <v>0</v>
      </c>
      <c r="N270">
        <v>0</v>
      </c>
      <c r="P270">
        <v>0</v>
      </c>
      <c r="AC270">
        <f>SUM(F270,H270,J270,L270,N270,P270,R270,T270,V270,X270,Z270,AB270)</f>
        <v>0</v>
      </c>
    </row>
    <row r="271">
      <c r="A271" t="str">
        <v>92101</v>
      </c>
      <c r="B271" t="str">
        <v>Copper (Cu), Blood</v>
      </c>
      <c r="C271" t="str">
        <v>33506</v>
      </c>
      <c r="D271">
        <v>120</v>
      </c>
      <c r="F271">
        <v>0</v>
      </c>
      <c r="H271">
        <v>0</v>
      </c>
      <c r="J271">
        <v>0</v>
      </c>
      <c r="L271">
        <v>0</v>
      </c>
      <c r="N271">
        <v>0</v>
      </c>
      <c r="P271">
        <v>0</v>
      </c>
      <c r="AC271">
        <f>SUM(F271,H271,J271,L271,N271,P271,R271,T271,V271,X271,Z271,AB271)</f>
        <v>0</v>
      </c>
    </row>
    <row r="272">
      <c r="A272" t="str">
        <v>97204</v>
      </c>
      <c r="B272" t="str">
        <v>FGFR_2 Mutation (BPL)</v>
      </c>
      <c r="D272">
        <v>3450</v>
      </c>
      <c r="F272">
        <v>0</v>
      </c>
      <c r="H272">
        <v>0</v>
      </c>
      <c r="J272">
        <v>0</v>
      </c>
      <c r="L272">
        <v>0</v>
      </c>
      <c r="N272">
        <v>0</v>
      </c>
      <c r="P272">
        <v>0</v>
      </c>
      <c r="AC272">
        <f>SUM(F272,H272,J272,L272,N272,P272,R272,T272,V272,X272,Z272,AB272)</f>
        <v>0</v>
      </c>
    </row>
    <row r="273">
      <c r="A273" t="str">
        <v>97225</v>
      </c>
      <c r="B273" t="str">
        <v>Beta-hydroxybutyrate</v>
      </c>
      <c r="C273" t="str">
        <v>32216</v>
      </c>
      <c r="D273">
        <v>225</v>
      </c>
      <c r="F273">
        <v>0</v>
      </c>
      <c r="H273">
        <v>0</v>
      </c>
      <c r="J273">
        <v>0</v>
      </c>
      <c r="L273">
        <v>0</v>
      </c>
      <c r="N273">
        <v>0</v>
      </c>
      <c r="P273">
        <v>0</v>
      </c>
      <c r="AC273">
        <f>SUM(F273,H273,J273,L273,N273,P273,R273,T273,V273,X273,Z273,AB273)</f>
        <v>0</v>
      </c>
    </row>
    <row r="274">
      <c r="A274" t="str">
        <v>98023</v>
      </c>
      <c r="B274" t="str">
        <v>Heparin-PF4 Antibody(IgG) ( Non VITT )</v>
      </c>
      <c r="D274">
        <v>2200</v>
      </c>
      <c r="F274">
        <v>0</v>
      </c>
      <c r="H274">
        <v>0</v>
      </c>
      <c r="J274">
        <v>0</v>
      </c>
      <c r="L274">
        <v>0</v>
      </c>
      <c r="N274">
        <v>0</v>
      </c>
      <c r="P274">
        <v>0</v>
      </c>
      <c r="AC274">
        <f>SUM(F274,H274,J274,L274,N274,P274,R274,T274,V274,X274,Z274,AB274)</f>
        <v>0</v>
      </c>
    </row>
    <row r="275">
      <c r="A275" t="str">
        <v>97252</v>
      </c>
      <c r="B275" t="str">
        <v>Styrene ( Mandelic acid )</v>
      </c>
      <c r="D275">
        <v>150</v>
      </c>
      <c r="F275">
        <v>0</v>
      </c>
      <c r="H275">
        <v>0</v>
      </c>
      <c r="J275">
        <v>0</v>
      </c>
      <c r="L275">
        <v>0</v>
      </c>
      <c r="N275">
        <v>0</v>
      </c>
      <c r="P275">
        <v>0</v>
      </c>
      <c r="AC275">
        <f>SUM(F275,H275,J275,L275,N275,P275,R275,T275,V275,X275,Z275,AB275)</f>
        <v>0</v>
      </c>
    </row>
    <row r="276">
      <c r="A276" t="str">
        <v>92033</v>
      </c>
      <c r="B276" t="str">
        <v>EBV-CA Ab., IgA</v>
      </c>
      <c r="C276" t="str">
        <v>36430</v>
      </c>
      <c r="D276">
        <v>300</v>
      </c>
      <c r="F276">
        <v>0</v>
      </c>
      <c r="H276">
        <v>1</v>
      </c>
      <c r="J276">
        <v>0</v>
      </c>
      <c r="L276">
        <v>0</v>
      </c>
      <c r="N276">
        <v>0</v>
      </c>
      <c r="P276">
        <v>0</v>
      </c>
      <c r="AC276">
        <f>SUM(F276,H276,J276,L276,N276,P276,R276,T276,V276,X276,Z276,AB276)</f>
        <v>1</v>
      </c>
    </row>
    <row r="277">
      <c r="A277" t="str">
        <v>92007</v>
      </c>
      <c r="B277" t="str">
        <v>Acetyl Salicylic Acid (Salicylate)</v>
      </c>
      <c r="C277" t="str">
        <v>33108</v>
      </c>
      <c r="D277">
        <v>300</v>
      </c>
      <c r="F277">
        <v>0</v>
      </c>
      <c r="H277">
        <v>0</v>
      </c>
      <c r="J277">
        <v>0</v>
      </c>
      <c r="L277">
        <v>0</v>
      </c>
      <c r="N277">
        <v>0</v>
      </c>
      <c r="P277">
        <v>0</v>
      </c>
      <c r="AC277">
        <f>SUM(F277,H277,J277,L277,N277,P277,R277,T277,V277,X277,Z277,AB277)</f>
        <v>0</v>
      </c>
    </row>
    <row r="278">
      <c r="A278" t="str">
        <v>92229</v>
      </c>
      <c r="B278" t="str">
        <v>Paraquat (Gramoxone), (Quantitative) Blood</v>
      </c>
      <c r="C278" t="str">
        <v>33605</v>
      </c>
      <c r="D278">
        <v>250</v>
      </c>
      <c r="F278">
        <v>0</v>
      </c>
      <c r="H278">
        <v>1</v>
      </c>
      <c r="J278">
        <v>0</v>
      </c>
      <c r="L278">
        <v>0</v>
      </c>
      <c r="N278">
        <v>0</v>
      </c>
      <c r="P278">
        <v>0</v>
      </c>
      <c r="AC278">
        <f>SUM(F278,H278,J278,L278,N278,P278,R278,T278,V278,X278,Z278,AB278)</f>
        <v>1</v>
      </c>
    </row>
    <row r="279">
      <c r="A279" t="str">
        <v>92091</v>
      </c>
      <c r="B279" t="str">
        <v>Chromium(Cr),urine</v>
      </c>
      <c r="C279" t="str">
        <v>33505</v>
      </c>
      <c r="D279">
        <v>120</v>
      </c>
      <c r="F279">
        <v>0</v>
      </c>
      <c r="H279">
        <v>0</v>
      </c>
      <c r="J279">
        <v>0</v>
      </c>
      <c r="L279">
        <v>0</v>
      </c>
      <c r="N279">
        <v>0</v>
      </c>
      <c r="P279">
        <v>3</v>
      </c>
      <c r="AC279">
        <f>SUM(F279,H279,J279,L279,N279,P279,R279,T279,V279,X279,Z279,AB279)</f>
        <v>3</v>
      </c>
    </row>
    <row r="280">
      <c r="A280" t="str">
        <v>92054</v>
      </c>
      <c r="B280" t="str">
        <v>Anti Basement Membrane-Ig A ( Pemphigoid Ab )</v>
      </c>
      <c r="D280">
        <v>750</v>
      </c>
      <c r="F280">
        <v>0</v>
      </c>
      <c r="H280">
        <v>0</v>
      </c>
      <c r="J280">
        <v>0</v>
      </c>
      <c r="L280">
        <v>0</v>
      </c>
      <c r="N280">
        <v>0</v>
      </c>
      <c r="P280">
        <v>0</v>
      </c>
      <c r="AC280">
        <f>SUM(F280,H280,J280,L280,N280,P280,R280,T280,V280,X280,Z280,AB280)</f>
        <v>0</v>
      </c>
    </row>
    <row r="281">
      <c r="A281" t="str">
        <v>92130</v>
      </c>
      <c r="B281" t="str">
        <v>Factor X</v>
      </c>
      <c r="C281" t="str">
        <v>30223</v>
      </c>
      <c r="D281">
        <v>1000</v>
      </c>
      <c r="F281">
        <v>1</v>
      </c>
      <c r="H281">
        <v>0</v>
      </c>
      <c r="J281">
        <v>0</v>
      </c>
      <c r="L281">
        <v>0</v>
      </c>
      <c r="N281">
        <v>1</v>
      </c>
      <c r="P281">
        <v>0</v>
      </c>
      <c r="AC281">
        <f>SUM(F281,H281,J281,L281,N281,P281,R281,T281,V281,X281,Z281,AB281)</f>
        <v>2</v>
      </c>
    </row>
    <row r="282">
      <c r="A282" t="str">
        <v>92188</v>
      </c>
      <c r="B282" t="str">
        <v>JE (Japanese encephalitis) Ab., IgG (CSF)</v>
      </c>
      <c r="D282">
        <v>250</v>
      </c>
      <c r="F282">
        <v>0</v>
      </c>
      <c r="H282">
        <v>0</v>
      </c>
      <c r="J282">
        <v>0</v>
      </c>
      <c r="L282">
        <v>0</v>
      </c>
      <c r="N282">
        <v>0</v>
      </c>
      <c r="P282">
        <v>0</v>
      </c>
      <c r="AC282">
        <f>SUM(F282,H282,J282,L282,N282,P282,R282,T282,V282,X282,Z282,AB282)</f>
        <v>0</v>
      </c>
    </row>
    <row r="283">
      <c r="A283" t="str">
        <v>98046</v>
      </c>
      <c r="B283" t="str">
        <v>Specific IgE to Seafood (fx2)</v>
      </c>
      <c r="D283">
        <v>800</v>
      </c>
      <c r="F283">
        <v>0</v>
      </c>
      <c r="H283">
        <v>0</v>
      </c>
      <c r="J283">
        <v>0</v>
      </c>
      <c r="L283">
        <v>0</v>
      </c>
      <c r="N283">
        <v>0</v>
      </c>
      <c r="P283">
        <v>0</v>
      </c>
      <c r="AC283">
        <f>SUM(F283,H283,J283,L283,N283,P283,R283,T283,V283,X283,Z283,AB283)</f>
        <v>0</v>
      </c>
    </row>
    <row r="284">
      <c r="A284" t="str">
        <v>92343</v>
      </c>
      <c r="B284" t="str">
        <v>FTA-Abs, IgG (CSF)</v>
      </c>
      <c r="C284" t="str">
        <v>36004</v>
      </c>
      <c r="D284">
        <v>160</v>
      </c>
      <c r="F284">
        <v>1</v>
      </c>
      <c r="H284">
        <v>0</v>
      </c>
      <c r="J284">
        <v>0</v>
      </c>
      <c r="L284">
        <v>1</v>
      </c>
      <c r="N284">
        <v>0</v>
      </c>
      <c r="P284">
        <v>0</v>
      </c>
      <c r="AC284">
        <f>SUM(F284,H284,J284,L284,N284,P284,R284,T284,V284,X284,Z284,AB284)</f>
        <v>2</v>
      </c>
    </row>
    <row r="285">
      <c r="A285" t="str">
        <v>98064</v>
      </c>
      <c r="B285" t="str">
        <v>OPMD Repeat Expansion</v>
      </c>
      <c r="D285">
        <v>3700</v>
      </c>
      <c r="F285">
        <v>0</v>
      </c>
      <c r="H285">
        <v>0</v>
      </c>
      <c r="J285">
        <v>0</v>
      </c>
      <c r="L285">
        <v>0</v>
      </c>
      <c r="N285">
        <v>0</v>
      </c>
      <c r="P285">
        <v>0</v>
      </c>
      <c r="AC285">
        <f>SUM(F285,H285,J285,L285,N285,P285,R285,T285,V285,X285,Z285,AB285)</f>
        <v>0</v>
      </c>
    </row>
    <row r="286">
      <c r="A286" t="str">
        <v>98065</v>
      </c>
      <c r="B286" t="str">
        <v>Vitamin E (Tocopherol)</v>
      </c>
      <c r="C286" t="str">
        <v>32413</v>
      </c>
      <c r="D286">
        <v>275</v>
      </c>
      <c r="F286">
        <v>0</v>
      </c>
      <c r="H286">
        <v>0</v>
      </c>
      <c r="J286">
        <v>0</v>
      </c>
      <c r="L286">
        <v>0</v>
      </c>
      <c r="N286">
        <v>0</v>
      </c>
      <c r="P286">
        <v>0</v>
      </c>
      <c r="AC286">
        <f>SUM(F286,H286,J286,L286,N286,P286,R286,T286,V286,X286,Z286,AB286)</f>
        <v>0</v>
      </c>
    </row>
    <row r="287">
      <c r="A287" t="str">
        <v>97147</v>
      </c>
      <c r="B287" t="str">
        <v>JC Virus PCR Qualitative</v>
      </c>
      <c r="D287">
        <v>2000</v>
      </c>
      <c r="F287">
        <v>0</v>
      </c>
      <c r="H287">
        <v>0</v>
      </c>
      <c r="J287">
        <v>0</v>
      </c>
      <c r="L287">
        <v>0</v>
      </c>
      <c r="N287">
        <v>0</v>
      </c>
      <c r="P287">
        <v>0</v>
      </c>
      <c r="AC287">
        <f>SUM(F287,H287,J287,L287,N287,P287,R287,T287,V287,X287,Z287,AB287)</f>
        <v>0</v>
      </c>
    </row>
    <row r="288">
      <c r="A288" t="str">
        <v>98058</v>
      </c>
      <c r="B288" t="str">
        <v>Novel Coronavirus 2019 (COVID-19)</v>
      </c>
      <c r="D288">
        <v>900</v>
      </c>
      <c r="F288">
        <v>0</v>
      </c>
      <c r="H288">
        <v>0</v>
      </c>
      <c r="J288">
        <v>0</v>
      </c>
      <c r="L288">
        <v>0</v>
      </c>
      <c r="N288">
        <v>0</v>
      </c>
      <c r="P288">
        <v>0</v>
      </c>
      <c r="AC288">
        <f>SUM(F288,H288,J288,L288,N288,P288,R288,T288,V288,X288,Z288,AB288)</f>
        <v>0</v>
      </c>
    </row>
    <row r="289">
      <c r="A289" t="str">
        <v>92144</v>
      </c>
      <c r="B289" t="str">
        <v>Gastrin</v>
      </c>
      <c r="D289">
        <v>600</v>
      </c>
      <c r="F289">
        <v>0</v>
      </c>
      <c r="H289">
        <v>0</v>
      </c>
      <c r="J289">
        <v>0</v>
      </c>
      <c r="L289">
        <v>0</v>
      </c>
      <c r="N289">
        <v>0</v>
      </c>
      <c r="P289">
        <v>0</v>
      </c>
      <c r="AC289">
        <f>SUM(F289,H289,J289,L289,N289,P289,R289,T289,V289,X289,Z289,AB289)</f>
        <v>0</v>
      </c>
    </row>
    <row r="290">
      <c r="A290" t="str">
        <v>92061</v>
      </c>
      <c r="B290" t="str">
        <v>Arsenic (As),Blood</v>
      </c>
      <c r="C290" t="str">
        <v>33503</v>
      </c>
      <c r="D290">
        <v>120</v>
      </c>
      <c r="F290">
        <v>0</v>
      </c>
      <c r="H290">
        <v>0</v>
      </c>
      <c r="J290">
        <v>0</v>
      </c>
      <c r="L290">
        <v>0</v>
      </c>
      <c r="N290">
        <v>0</v>
      </c>
      <c r="P290">
        <v>0</v>
      </c>
      <c r="AC290">
        <f>SUM(F290,H290,J290,L290,N290,P290,R290,T290,V290,X290,Z290,AB290)</f>
        <v>0</v>
      </c>
    </row>
    <row r="291">
      <c r="A291" t="str">
        <v>92160</v>
      </c>
      <c r="B291" t="str">
        <v>HCV Genotype</v>
      </c>
      <c r="C291" t="str">
        <v>36334</v>
      </c>
      <c r="D291">
        <v>1860</v>
      </c>
      <c r="F291">
        <v>0</v>
      </c>
      <c r="H291">
        <v>0</v>
      </c>
      <c r="J291">
        <v>1</v>
      </c>
      <c r="L291">
        <v>0</v>
      </c>
      <c r="N291">
        <v>0</v>
      </c>
      <c r="P291">
        <v>0</v>
      </c>
      <c r="AC291">
        <f>SUM(F291,H291,J291,L291,N291,P291,R291,T291,V291,X291,Z291,AB291)</f>
        <v>1</v>
      </c>
    </row>
    <row r="292">
      <c r="A292" t="str">
        <v>95085</v>
      </c>
      <c r="B292" t="str">
        <v>Vitamin B1 (thiamine) by HPLC</v>
      </c>
      <c r="C292" t="str">
        <v>32410</v>
      </c>
      <c r="D292">
        <v>150</v>
      </c>
      <c r="F292">
        <v>0</v>
      </c>
      <c r="H292">
        <v>0</v>
      </c>
      <c r="J292">
        <v>0</v>
      </c>
      <c r="L292">
        <v>1</v>
      </c>
      <c r="N292">
        <v>0</v>
      </c>
      <c r="P292">
        <v>0</v>
      </c>
      <c r="AC292">
        <f>SUM(F292,H292,J292,L292,N292,P292,R292,T292,V292,X292,Z292,AB292)</f>
        <v>1</v>
      </c>
    </row>
    <row r="293">
      <c r="A293" t="str">
        <v>95079</v>
      </c>
      <c r="B293" t="str">
        <v>Anti-Glomerular Basement Membrane(AGBM)</v>
      </c>
      <c r="D293">
        <v>640</v>
      </c>
      <c r="F293">
        <v>1</v>
      </c>
      <c r="H293">
        <v>0</v>
      </c>
      <c r="J293">
        <v>1</v>
      </c>
      <c r="L293">
        <v>0</v>
      </c>
      <c r="N293">
        <v>1</v>
      </c>
      <c r="P293">
        <v>0</v>
      </c>
      <c r="AC293">
        <f>SUM(F293,H293,J293,L293,N293,P293,R293,T293,V293,X293,Z293,AB293)</f>
        <v>3</v>
      </c>
    </row>
    <row r="294">
      <c r="A294" t="str">
        <v>97167</v>
      </c>
      <c r="B294" t="str">
        <v>Anti-GM1 gangliosides, IgM</v>
      </c>
      <c r="D294">
        <v>1580</v>
      </c>
      <c r="F294">
        <v>0</v>
      </c>
      <c r="H294">
        <v>0</v>
      </c>
      <c r="J294">
        <v>0</v>
      </c>
      <c r="L294">
        <v>0</v>
      </c>
      <c r="N294">
        <v>0</v>
      </c>
      <c r="P294">
        <v>0</v>
      </c>
      <c r="AC294">
        <f>SUM(F294,H294,J294,L294,N294,P294,R294,T294,V294,X294,Z294,AB294)</f>
        <v>0</v>
      </c>
    </row>
    <row r="295">
      <c r="A295" t="str">
        <v>97022</v>
      </c>
      <c r="B295" t="str">
        <v>Antidepressents (Blood)</v>
      </c>
      <c r="D295">
        <v>300</v>
      </c>
      <c r="F295">
        <v>0</v>
      </c>
      <c r="H295">
        <v>0</v>
      </c>
      <c r="J295">
        <v>0</v>
      </c>
      <c r="L295">
        <v>0</v>
      </c>
      <c r="N295">
        <v>0</v>
      </c>
      <c r="P295">
        <v>0</v>
      </c>
      <c r="AC295">
        <f>SUM(F295,H295,J295,L295,N295,P295,R295,T295,V295,X295,Z295,AB295)</f>
        <v>0</v>
      </c>
    </row>
    <row r="296">
      <c r="A296" t="str">
        <v>92126</v>
      </c>
      <c r="B296" t="str">
        <v>Factor VII</v>
      </c>
      <c r="C296" t="str">
        <v>30218</v>
      </c>
      <c r="D296">
        <v>1000</v>
      </c>
      <c r="F296">
        <v>0</v>
      </c>
      <c r="H296">
        <v>0</v>
      </c>
      <c r="J296">
        <v>0</v>
      </c>
      <c r="L296">
        <v>0</v>
      </c>
      <c r="N296">
        <v>0</v>
      </c>
      <c r="P296">
        <v>0</v>
      </c>
      <c r="AC296">
        <f>SUM(F296,H296,J296,L296,N296,P296,R296,T296,V296,X296,Z296,AB296)</f>
        <v>0</v>
      </c>
    </row>
    <row r="297">
      <c r="A297" t="str">
        <v>97068</v>
      </c>
      <c r="B297" t="str">
        <v>Hemosiderin</v>
      </c>
      <c r="C297" t="str">
        <v>30112</v>
      </c>
      <c r="D297">
        <v>50</v>
      </c>
      <c r="F297">
        <v>0</v>
      </c>
      <c r="H297">
        <v>0</v>
      </c>
      <c r="J297">
        <v>0</v>
      </c>
      <c r="L297">
        <v>0</v>
      </c>
      <c r="N297">
        <v>0</v>
      </c>
      <c r="P297">
        <v>0</v>
      </c>
      <c r="AC297">
        <f>SUM(F297,H297,J297,L297,N297,P297,R297,T297,V297,X297,Z297,AB297)</f>
        <v>0</v>
      </c>
    </row>
    <row r="298">
      <c r="A298" t="str">
        <v>92048</v>
      </c>
      <c r="B298" t="str">
        <v>Anti neutrophil cytoplasmic Ab(ANCA) screening</v>
      </c>
      <c r="C298" t="str">
        <v>37015</v>
      </c>
      <c r="D298">
        <v>360</v>
      </c>
      <c r="F298">
        <v>1</v>
      </c>
      <c r="H298">
        <v>0</v>
      </c>
      <c r="J298">
        <v>0</v>
      </c>
      <c r="L298">
        <v>0</v>
      </c>
      <c r="N298">
        <v>0</v>
      </c>
      <c r="P298">
        <v>0</v>
      </c>
      <c r="AC298">
        <f>SUM(F298,H298,J298,L298,N298,P298,R298,T298,V298,X298,Z298,AB298)</f>
        <v>1</v>
      </c>
    </row>
    <row r="299">
      <c r="A299" t="str">
        <v>92102</v>
      </c>
      <c r="B299" t="str">
        <v>Copper(Cu),urine 24 hrs.</v>
      </c>
      <c r="D299">
        <v>120</v>
      </c>
      <c r="F299">
        <v>0</v>
      </c>
      <c r="H299">
        <v>0</v>
      </c>
      <c r="J299">
        <v>0</v>
      </c>
      <c r="L299">
        <v>1</v>
      </c>
      <c r="N299">
        <v>0</v>
      </c>
      <c r="P299">
        <v>0</v>
      </c>
      <c r="AC299">
        <f>SUM(F299,H299,J299,L299,N299,P299,R299,T299,V299,X299,Z299,AB299)</f>
        <v>1</v>
      </c>
    </row>
    <row r="300">
      <c r="A300" t="str">
        <v>92128</v>
      </c>
      <c r="B300" t="str">
        <v>Factor IX</v>
      </c>
      <c r="C300" t="str">
        <v>30221</v>
      </c>
      <c r="D300">
        <v>520</v>
      </c>
      <c r="F300">
        <v>0</v>
      </c>
      <c r="H300">
        <v>1</v>
      </c>
      <c r="J300">
        <v>0</v>
      </c>
      <c r="L300">
        <v>0</v>
      </c>
      <c r="N300">
        <v>0</v>
      </c>
      <c r="P300">
        <v>1</v>
      </c>
      <c r="AC300">
        <f>SUM(F300,H300,J300,L300,N300,P300,R300,T300,V300,X300,Z300,AB300)</f>
        <v>2</v>
      </c>
    </row>
    <row r="301">
      <c r="A301" t="str">
        <v>97132</v>
      </c>
      <c r="B301" t="str">
        <v>Urine protein electrophoresis [BPL]</v>
      </c>
      <c r="D301">
        <v>280</v>
      </c>
      <c r="F301">
        <v>1</v>
      </c>
      <c r="H301">
        <v>0</v>
      </c>
      <c r="J301">
        <v>0</v>
      </c>
      <c r="L301">
        <v>0</v>
      </c>
      <c r="N301">
        <v>0</v>
      </c>
      <c r="P301">
        <v>0</v>
      </c>
      <c r="AC301">
        <f>SUM(F301,H301,J301,L301,N301,P301,R301,T301,V301,X301,Z301,AB301)</f>
        <v>1</v>
      </c>
    </row>
    <row r="302">
      <c r="A302" t="str">
        <v>97183</v>
      </c>
      <c r="B302" t="str">
        <v>Allergy for specific IgE to Food mixes</v>
      </c>
      <c r="D302">
        <v>1180</v>
      </c>
      <c r="F302">
        <v>0</v>
      </c>
      <c r="H302">
        <v>0</v>
      </c>
      <c r="J302">
        <v>0</v>
      </c>
      <c r="L302">
        <v>0</v>
      </c>
      <c r="N302">
        <v>0</v>
      </c>
      <c r="P302">
        <v>0</v>
      </c>
      <c r="AC302">
        <f>SUM(F302,H302,J302,L302,N302,P302,R302,T302,V302,X302,Z302,AB302)</f>
        <v>0</v>
      </c>
    </row>
    <row r="303">
      <c r="A303" t="str">
        <v>97184</v>
      </c>
      <c r="B303" t="str">
        <v>Specific IgE to Mixture of respiratory allergen</v>
      </c>
      <c r="C303" t="str">
        <v>37353</v>
      </c>
      <c r="D303">
        <v>690</v>
      </c>
      <c r="F303">
        <v>0</v>
      </c>
      <c r="H303">
        <v>0</v>
      </c>
      <c r="J303">
        <v>0</v>
      </c>
      <c r="L303">
        <v>0</v>
      </c>
      <c r="N303">
        <v>0</v>
      </c>
      <c r="P303">
        <v>0</v>
      </c>
      <c r="AC303">
        <f>SUM(F303,H303,J303,L303,N303,P303,R303,T303,V303,X303,Z303,AB303)</f>
        <v>0</v>
      </c>
    </row>
    <row r="304">
      <c r="A304" t="str">
        <v>92361</v>
      </c>
      <c r="B304" t="str">
        <v>Leptospira Ab. - IgG titer</v>
      </c>
      <c r="D304">
        <v>193</v>
      </c>
      <c r="F304">
        <v>1</v>
      </c>
      <c r="H304">
        <v>0</v>
      </c>
      <c r="J304">
        <v>0</v>
      </c>
      <c r="L304">
        <v>0</v>
      </c>
      <c r="N304">
        <v>0</v>
      </c>
      <c r="P304">
        <v>0</v>
      </c>
      <c r="AC304">
        <f>SUM(F304,H304,J304,L304,N304,P304,R304,T304,V304,X304,Z304,AB304)</f>
        <v>1</v>
      </c>
    </row>
    <row r="305">
      <c r="A305" t="str">
        <v>97175</v>
      </c>
      <c r="B305" t="str">
        <v>DCIP</v>
      </c>
      <c r="D305">
        <v>100</v>
      </c>
      <c r="F305">
        <v>0</v>
      </c>
      <c r="H305">
        <v>0</v>
      </c>
      <c r="J305">
        <v>0</v>
      </c>
      <c r="L305">
        <v>1</v>
      </c>
      <c r="N305">
        <v>0</v>
      </c>
      <c r="P305">
        <v>0</v>
      </c>
      <c r="AC305">
        <f>SUM(F305,H305,J305,L305,N305,P305,R305,T305,V305,X305,Z305,AB305)</f>
        <v>1</v>
      </c>
    </row>
    <row r="306">
      <c r="A306" t="str">
        <v>92177</v>
      </c>
      <c r="B306" t="str">
        <v>IgG Subclass (1-4)</v>
      </c>
      <c r="D306">
        <v>2200</v>
      </c>
      <c r="F306">
        <v>0</v>
      </c>
      <c r="H306">
        <v>0</v>
      </c>
      <c r="J306">
        <v>0</v>
      </c>
      <c r="L306">
        <v>0</v>
      </c>
      <c r="N306">
        <v>0</v>
      </c>
      <c r="P306">
        <v>0</v>
      </c>
      <c r="AC306">
        <f>SUM(F306,H306,J306,L306,N306,P306,R306,T306,V306,X306,Z306,AB306)</f>
        <v>0</v>
      </c>
    </row>
    <row r="307">
      <c r="A307" t="str">
        <v>92312</v>
      </c>
      <c r="B307" t="str">
        <v>HIV Genotype Drugs resistant (RT &amp; Protease)</v>
      </c>
      <c r="C307" t="str">
        <v>36370</v>
      </c>
      <c r="D307">
        <v>5500</v>
      </c>
      <c r="F307">
        <v>0</v>
      </c>
      <c r="H307">
        <v>0</v>
      </c>
      <c r="J307">
        <v>0</v>
      </c>
      <c r="L307">
        <v>0</v>
      </c>
      <c r="N307">
        <v>0</v>
      </c>
      <c r="P307">
        <v>0</v>
      </c>
      <c r="AC307">
        <f>SUM(F307,H307,J307,L307,N307,P307,R307,T307,V307,X307,Z307,AB307)</f>
        <v>0</v>
      </c>
    </row>
    <row r="308">
      <c r="A308" t="str">
        <v>91018</v>
      </c>
      <c r="B308" t="str">
        <v>Entero virus - culture</v>
      </c>
      <c r="D308">
        <v>800</v>
      </c>
      <c r="F308">
        <v>0</v>
      </c>
      <c r="H308">
        <v>0</v>
      </c>
      <c r="J308">
        <v>0</v>
      </c>
      <c r="L308">
        <v>0</v>
      </c>
      <c r="N308">
        <v>0</v>
      </c>
      <c r="P308">
        <v>0</v>
      </c>
      <c r="AC308">
        <f>SUM(F308,H308,J308,L308,N308,P308,R308,T308,V308,X308,Z308,AB308)</f>
        <v>0</v>
      </c>
    </row>
    <row r="309">
      <c r="A309" t="str">
        <v>98027</v>
      </c>
      <c r="B309" t="str">
        <v>Osmotic Fragility (OF)</v>
      </c>
      <c r="C309" t="str">
        <v>30125</v>
      </c>
      <c r="D309">
        <v>60</v>
      </c>
      <c r="F309">
        <v>0</v>
      </c>
      <c r="H309">
        <v>0</v>
      </c>
      <c r="J309">
        <v>0</v>
      </c>
      <c r="L309">
        <v>1</v>
      </c>
      <c r="N309">
        <v>0</v>
      </c>
      <c r="P309">
        <v>0</v>
      </c>
      <c r="AC309">
        <f>SUM(F309,H309,J309,L309,N309,P309,R309,T309,V309,X309,Z309,AB309)</f>
        <v>1</v>
      </c>
    </row>
    <row r="310">
      <c r="A310" t="str">
        <v>92055</v>
      </c>
      <c r="B310" t="str">
        <v>Anti Basement Membrane-Ig G</v>
      </c>
      <c r="D310">
        <v>750</v>
      </c>
      <c r="F310">
        <v>0</v>
      </c>
      <c r="H310">
        <v>0</v>
      </c>
      <c r="J310">
        <v>0</v>
      </c>
      <c r="L310">
        <v>0</v>
      </c>
      <c r="N310">
        <v>0</v>
      </c>
      <c r="P310">
        <v>0</v>
      </c>
      <c r="AC310">
        <f>SUM(F310,H310,J310,L310,N310,P310,R310,T310,V310,X310,Z310,AB310)</f>
        <v>0</v>
      </c>
    </row>
    <row r="311">
      <c r="A311" t="str">
        <v>97096</v>
      </c>
      <c r="B311" t="str">
        <v>Anti CIC-C1q IgG [BPL]</v>
      </c>
      <c r="D311">
        <v>600</v>
      </c>
      <c r="F311">
        <v>0</v>
      </c>
      <c r="H311">
        <v>0</v>
      </c>
      <c r="J311">
        <v>0</v>
      </c>
      <c r="L311">
        <v>0</v>
      </c>
      <c r="N311">
        <v>0</v>
      </c>
      <c r="P311">
        <v>0</v>
      </c>
      <c r="AC311">
        <f>SUM(F311,H311,J311,L311,N311,P311,R311,T311,V311,X311,Z311,AB311)</f>
        <v>0</v>
      </c>
    </row>
    <row r="312">
      <c r="A312" t="str">
        <v>97215</v>
      </c>
      <c r="B312" t="str">
        <v>Methanol (Methyl alcohol), Blood</v>
      </c>
      <c r="D312">
        <v>240</v>
      </c>
      <c r="F312">
        <v>0</v>
      </c>
      <c r="H312">
        <v>0</v>
      </c>
      <c r="J312">
        <v>0</v>
      </c>
      <c r="L312">
        <v>0</v>
      </c>
      <c r="N312">
        <v>0</v>
      </c>
      <c r="P312">
        <v>0</v>
      </c>
      <c r="AC312">
        <f>SUM(F312,H312,J312,L312,N312,P312,R312,T312,V312,X312,Z312,AB312)</f>
        <v>0</v>
      </c>
    </row>
    <row r="313">
      <c r="A313" t="str">
        <v>92056</v>
      </c>
      <c r="B313" t="str">
        <v>Anti Basemen Membrane-Ig M</v>
      </c>
      <c r="D313">
        <v>600</v>
      </c>
      <c r="F313">
        <v>0</v>
      </c>
      <c r="H313">
        <v>0</v>
      </c>
      <c r="J313">
        <v>0</v>
      </c>
      <c r="L313">
        <v>0</v>
      </c>
      <c r="N313">
        <v>0</v>
      </c>
      <c r="P313">
        <v>0</v>
      </c>
      <c r="AC313">
        <f>SUM(F313,H313,J313,L313,N313,P313,R313,T313,V313,X313,Z313,AB313)</f>
        <v>0</v>
      </c>
    </row>
    <row r="314">
      <c r="A314" t="str">
        <v>97146</v>
      </c>
      <c r="B314" t="str">
        <v>Specific IgE to Aspergillus fumigatus (m3)</v>
      </c>
      <c r="D314">
        <v>450</v>
      </c>
      <c r="F314">
        <v>1</v>
      </c>
      <c r="H314">
        <v>0</v>
      </c>
      <c r="J314">
        <v>0</v>
      </c>
      <c r="L314">
        <v>0</v>
      </c>
      <c r="N314">
        <v>0</v>
      </c>
      <c r="P314">
        <v>0</v>
      </c>
      <c r="AC314">
        <f>SUM(F314,H314,J314,L314,N314,P314,R314,T314,V314,X314,Z314,AB314)</f>
        <v>1</v>
      </c>
    </row>
    <row r="315">
      <c r="A315" t="str">
        <v>92196</v>
      </c>
      <c r="B315" t="str">
        <v>Lipoprotein Electrophoresis</v>
      </c>
      <c r="C315" t="str">
        <v>32005</v>
      </c>
      <c r="D315">
        <v>300</v>
      </c>
      <c r="F315">
        <v>0</v>
      </c>
      <c r="H315">
        <v>0</v>
      </c>
      <c r="J315">
        <v>0</v>
      </c>
      <c r="L315">
        <v>0</v>
      </c>
      <c r="N315">
        <v>0</v>
      </c>
      <c r="P315">
        <v>0</v>
      </c>
      <c r="AC315">
        <f>SUM(F315,H315,J315,L315,N315,P315,R315,T315,V315,X315,Z315,AB315)</f>
        <v>0</v>
      </c>
    </row>
    <row r="316">
      <c r="A316" t="str">
        <v>97208</v>
      </c>
      <c r="B316" t="str">
        <v>Specific IgE to mixes grass pollens</v>
      </c>
      <c r="D316">
        <v>900</v>
      </c>
      <c r="F316">
        <v>0</v>
      </c>
      <c r="H316">
        <v>0</v>
      </c>
      <c r="J316">
        <v>0</v>
      </c>
      <c r="L316">
        <v>0</v>
      </c>
      <c r="N316">
        <v>0</v>
      </c>
      <c r="P316">
        <v>0</v>
      </c>
      <c r="AC316">
        <f>SUM(F316,H316,J316,L316,N316,P316,R316,T316,V316,X316,Z316,AB316)</f>
        <v>0</v>
      </c>
    </row>
    <row r="317">
      <c r="A317" t="str">
        <v>97249</v>
      </c>
      <c r="B317" t="str">
        <v>Isopropanol</v>
      </c>
      <c r="C317" t="str">
        <v>33556</v>
      </c>
      <c r="D317">
        <v>350</v>
      </c>
      <c r="F317">
        <v>0</v>
      </c>
      <c r="H317">
        <v>0</v>
      </c>
      <c r="J317">
        <v>0</v>
      </c>
      <c r="L317">
        <v>0</v>
      </c>
      <c r="N317">
        <v>0</v>
      </c>
      <c r="P317">
        <v>0</v>
      </c>
      <c r="AC317">
        <f>SUM(F317,H317,J317,L317,N317,P317,R317,T317,V317,X317,Z317,AB317)</f>
        <v>0</v>
      </c>
    </row>
    <row r="318">
      <c r="A318" t="str">
        <v>95033</v>
      </c>
      <c r="B318" t="str">
        <v>Copper (Cu), Urine</v>
      </c>
      <c r="C318" t="str">
        <v>33506</v>
      </c>
      <c r="D318">
        <v>120</v>
      </c>
      <c r="F318">
        <v>0</v>
      </c>
      <c r="H318">
        <v>1</v>
      </c>
      <c r="J318">
        <v>0</v>
      </c>
      <c r="L318">
        <v>0</v>
      </c>
      <c r="N318">
        <v>0</v>
      </c>
      <c r="P318">
        <v>1</v>
      </c>
      <c r="AC318">
        <f>SUM(F318,H318,J318,L318,N318,P318,R318,T318,V318,X318,Z318,AB318)</f>
        <v>2</v>
      </c>
    </row>
    <row r="319">
      <c r="A319" t="str">
        <v>92187</v>
      </c>
      <c r="B319" t="str">
        <v>JE (Japanese encephalitis) Ab., IgG (Serum)</v>
      </c>
      <c r="D319">
        <v>250</v>
      </c>
      <c r="F319">
        <v>0</v>
      </c>
      <c r="H319">
        <v>0</v>
      </c>
      <c r="J319">
        <v>0</v>
      </c>
      <c r="L319">
        <v>0</v>
      </c>
      <c r="N319">
        <v>0</v>
      </c>
      <c r="P319">
        <v>0</v>
      </c>
      <c r="AC319">
        <f>SUM(F319,H319,J319,L319,N319,P319,R319,T319,V319,X319,Z319,AB319)</f>
        <v>0</v>
      </c>
    </row>
    <row r="320">
      <c r="A320" t="str">
        <v>97190</v>
      </c>
      <c r="B320" t="str">
        <v>vitamin B2 (riboflavin)</v>
      </c>
      <c r="C320" t="str">
        <v>32416</v>
      </c>
      <c r="D320">
        <v>550</v>
      </c>
      <c r="F320">
        <v>0</v>
      </c>
      <c r="H320">
        <v>0</v>
      </c>
      <c r="J320">
        <v>0</v>
      </c>
      <c r="L320">
        <v>0</v>
      </c>
      <c r="N320">
        <v>0</v>
      </c>
      <c r="P320">
        <v>0</v>
      </c>
      <c r="AC320">
        <f>SUM(F320,H320,J320,L320,N320,P320,R320,T320,V320,X320,Z320,AB320)</f>
        <v>0</v>
      </c>
    </row>
    <row r="321">
      <c r="A321" t="str">
        <v>97210</v>
      </c>
      <c r="B321" t="str">
        <v>Sexaully transmittsd infection (PCR)</v>
      </c>
      <c r="D321">
        <v>1200</v>
      </c>
      <c r="F321">
        <v>0</v>
      </c>
      <c r="H321">
        <v>0</v>
      </c>
      <c r="J321">
        <v>0</v>
      </c>
      <c r="L321">
        <v>5</v>
      </c>
      <c r="N321">
        <v>4</v>
      </c>
      <c r="P321">
        <v>4</v>
      </c>
      <c r="AC321">
        <f>SUM(F321,H321,J321,L321,N321,P321,R321,T321,V321,X321,Z321,AB321)</f>
        <v>13</v>
      </c>
    </row>
    <row r="322">
      <c r="A322" t="str">
        <v>92330</v>
      </c>
      <c r="B322" t="str">
        <v>P1NP(Procollagen Type-1 N-Terminal-peptide)</v>
      </c>
      <c r="D322">
        <v>700</v>
      </c>
      <c r="F322">
        <v>0</v>
      </c>
      <c r="H322">
        <v>0</v>
      </c>
      <c r="J322">
        <v>0</v>
      </c>
      <c r="L322">
        <v>0</v>
      </c>
      <c r="N322">
        <v>0</v>
      </c>
      <c r="P322">
        <v>0</v>
      </c>
      <c r="AC322">
        <f>SUM(F322,H322,J322,L322,N322,P322,R322,T322,V322,X322,Z322,AB322)</f>
        <v>0</v>
      </c>
    </row>
    <row r="323">
      <c r="A323" t="str">
        <v>97076</v>
      </c>
      <c r="B323" t="str">
        <v>Free light chain Kappa/Lambda ratio (Urine)</v>
      </c>
      <c r="D323">
        <v>750</v>
      </c>
      <c r="F323">
        <v>0</v>
      </c>
      <c r="H323">
        <v>0</v>
      </c>
      <c r="J323">
        <v>0</v>
      </c>
      <c r="L323">
        <v>0</v>
      </c>
      <c r="N323">
        <v>0</v>
      </c>
      <c r="P323">
        <v>0</v>
      </c>
      <c r="AC323">
        <f>SUM(F323,H323,J323,L323,N323,P323,R323,T323,V323,X323,Z323,AB323)</f>
        <v>0</v>
      </c>
    </row>
    <row r="324">
      <c r="A324" t="str">
        <v>98081</v>
      </c>
      <c r="B324" t="str">
        <v>Myositis profile &amp; HMGCR</v>
      </c>
      <c r="D324">
        <v>2950</v>
      </c>
      <c r="F324">
        <v>0</v>
      </c>
      <c r="H324">
        <v>0</v>
      </c>
      <c r="J324">
        <v>0</v>
      </c>
      <c r="L324">
        <v>0</v>
      </c>
      <c r="N324">
        <v>0</v>
      </c>
      <c r="P324">
        <v>0</v>
      </c>
      <c r="AC324">
        <f>SUM(F324,H324,J324,L324,N324,P324,R324,T324,V324,X324,Z324,AB324)</f>
        <v>0</v>
      </c>
    </row>
    <row r="325">
      <c r="A325" t="str">
        <v>92335</v>
      </c>
      <c r="B325" t="str">
        <v>Fungus culture (BPL)</v>
      </c>
      <c r="D325">
        <v>300</v>
      </c>
      <c r="F325">
        <v>0</v>
      </c>
      <c r="H325">
        <v>0</v>
      </c>
      <c r="J325">
        <v>0</v>
      </c>
      <c r="L325">
        <v>0</v>
      </c>
      <c r="N325">
        <v>0</v>
      </c>
      <c r="P325">
        <v>0</v>
      </c>
      <c r="AC325">
        <f>SUM(F325,H325,J325,L325,N325,P325,R325,T325,V325,X325,Z325,AB325)</f>
        <v>0</v>
      </c>
    </row>
    <row r="326">
      <c r="A326" t="str">
        <v>97069</v>
      </c>
      <c r="B326" t="str">
        <v>Factor XIII</v>
      </c>
      <c r="D326">
        <v>110</v>
      </c>
      <c r="F326">
        <v>0</v>
      </c>
      <c r="H326">
        <v>0</v>
      </c>
      <c r="J326">
        <v>0</v>
      </c>
      <c r="L326">
        <v>1</v>
      </c>
      <c r="N326">
        <v>0</v>
      </c>
      <c r="P326">
        <v>0</v>
      </c>
      <c r="AC326">
        <f>SUM(F326,H326,J326,L326,N326,P326,R326,T326,V326,X326,Z326,AB326)</f>
        <v>1</v>
      </c>
    </row>
    <row r="327">
      <c r="A327" t="str">
        <v>92331</v>
      </c>
      <c r="B327" t="str">
        <v>Dengue (1-4) Ab,IgG&amp;IgM,Type specific,titer</v>
      </c>
      <c r="D327">
        <v>1500</v>
      </c>
      <c r="F327">
        <v>0</v>
      </c>
      <c r="H327">
        <v>1</v>
      </c>
      <c r="J327">
        <v>0</v>
      </c>
      <c r="L327">
        <v>0</v>
      </c>
      <c r="N327">
        <v>0</v>
      </c>
      <c r="P327">
        <v>0</v>
      </c>
      <c r="AC327">
        <f>SUM(F327,H327,J327,L327,N327,P327,R327,T327,V327,X327,Z327,AB327)</f>
        <v>1</v>
      </c>
    </row>
    <row r="328">
      <c r="A328" t="str">
        <v>98071</v>
      </c>
      <c r="B328" t="str">
        <v>CSF Amino acids</v>
      </c>
      <c r="D328">
        <v>4750</v>
      </c>
      <c r="F328">
        <v>0</v>
      </c>
      <c r="H328">
        <v>0</v>
      </c>
      <c r="J328">
        <v>0</v>
      </c>
      <c r="L328">
        <v>0</v>
      </c>
      <c r="N328">
        <v>0</v>
      </c>
      <c r="P328">
        <v>0</v>
      </c>
      <c r="AC328">
        <f>SUM(F328,H328,J328,L328,N328,P328,R328,T328,V328,X328,Z328,AB328)</f>
        <v>0</v>
      </c>
    </row>
    <row r="329">
      <c r="A329" t="str">
        <v>98104</v>
      </c>
      <c r="B329" t="str">
        <v>Free Testosterone</v>
      </c>
      <c r="D329">
        <v>1379</v>
      </c>
      <c r="F329">
        <v>0</v>
      </c>
      <c r="H329">
        <v>0</v>
      </c>
      <c r="J329">
        <v>0</v>
      </c>
      <c r="L329">
        <v>0</v>
      </c>
      <c r="N329">
        <v>0</v>
      </c>
      <c r="P329">
        <v>0</v>
      </c>
      <c r="AC329">
        <f>SUM(F329,H329,J329,L329,N329,P329,R329,T329,V329,X329,Z329,AB329)</f>
        <v>0</v>
      </c>
    </row>
    <row r="330">
      <c r="A330" t="str">
        <v>98068</v>
      </c>
      <c r="B330" t="str">
        <v>Allergy Respiratory Panel (20 Allergens)</v>
      </c>
      <c r="D330">
        <v>2000</v>
      </c>
      <c r="F330">
        <v>0</v>
      </c>
      <c r="H330">
        <v>0</v>
      </c>
      <c r="J330">
        <v>0</v>
      </c>
      <c r="L330">
        <v>0</v>
      </c>
      <c r="N330">
        <v>0</v>
      </c>
      <c r="P330">
        <v>0</v>
      </c>
      <c r="AC330">
        <f>SUM(F330,H330,J330,L330,N330,P330,R330,T330,V330,X330,Z330,AB330)</f>
        <v>0</v>
      </c>
    </row>
    <row r="331">
      <c r="A331" t="str">
        <v>98092</v>
      </c>
      <c r="B331" t="str">
        <v>Anti PLA2 receptor IgG (Anti-Phospholipase A2 receptor IgG)</v>
      </c>
      <c r="D331">
        <v>1000</v>
      </c>
      <c r="F331">
        <v>0</v>
      </c>
      <c r="H331">
        <v>0</v>
      </c>
      <c r="J331">
        <v>0</v>
      </c>
      <c r="L331">
        <v>0</v>
      </c>
      <c r="N331">
        <v>1</v>
      </c>
      <c r="P331">
        <v>0</v>
      </c>
      <c r="AC331">
        <f>SUM(F331,H331,J331,L331,N331,P331,R331,T331,V331,X331,Z331,AB331)</f>
        <v>1</v>
      </c>
    </row>
    <row r="332">
      <c r="A332" t="str">
        <v>97192</v>
      </c>
      <c r="B332" t="str">
        <v>chromogranin A</v>
      </c>
      <c r="D332">
        <v>950</v>
      </c>
      <c r="F332">
        <v>0</v>
      </c>
      <c r="H332">
        <v>0</v>
      </c>
      <c r="J332">
        <v>0</v>
      </c>
      <c r="L332">
        <v>0</v>
      </c>
      <c r="N332">
        <v>0</v>
      </c>
      <c r="P332">
        <v>0</v>
      </c>
      <c r="AC332">
        <f>SUM(F332,H332,J332,L332,N332,P332,R332,T332,V332,X332,Z332,AB332)</f>
        <v>0</v>
      </c>
    </row>
    <row r="333">
      <c r="A333" t="str">
        <v>98031</v>
      </c>
      <c r="B333" t="str">
        <v>Cholinesterse (Blood)</v>
      </c>
      <c r="C333" t="str">
        <v>33803</v>
      </c>
      <c r="D333">
        <v>120</v>
      </c>
      <c r="F333">
        <v>0</v>
      </c>
      <c r="H333">
        <v>0</v>
      </c>
      <c r="J333">
        <v>0</v>
      </c>
      <c r="L333">
        <v>0</v>
      </c>
      <c r="N333">
        <v>0</v>
      </c>
      <c r="P333">
        <v>0</v>
      </c>
      <c r="AC333">
        <f>SUM(F333,H333,J333,L333,N333,P333,R333,T333,V333,X333,Z333,AB333)</f>
        <v>0</v>
      </c>
    </row>
    <row r="334">
      <c r="A334" t="str">
        <v>98051</v>
      </c>
      <c r="B334" t="str">
        <v>MPO/p-ANCA</v>
      </c>
      <c r="C334" t="str">
        <v>37013</v>
      </c>
      <c r="D334">
        <v>550</v>
      </c>
      <c r="F334">
        <v>0</v>
      </c>
      <c r="H334">
        <v>0</v>
      </c>
      <c r="J334">
        <v>0</v>
      </c>
      <c r="L334">
        <v>0</v>
      </c>
      <c r="N334">
        <v>0</v>
      </c>
      <c r="P334">
        <v>0</v>
      </c>
      <c r="AC334">
        <f>SUM(F334,H334,J334,L334,N334,P334,R334,T334,V334,X334,Z334,AB334)</f>
        <v>0</v>
      </c>
    </row>
    <row r="335">
      <c r="A335" t="str">
        <v>98095</v>
      </c>
      <c r="B335" t="str">
        <v>Pythium insidiosum Ab.</v>
      </c>
      <c r="C335" t="str">
        <v>36106</v>
      </c>
      <c r="D335">
        <v>315</v>
      </c>
      <c r="F335">
        <v>0</v>
      </c>
      <c r="H335">
        <v>0</v>
      </c>
      <c r="J335">
        <v>0</v>
      </c>
      <c r="L335">
        <v>0</v>
      </c>
      <c r="N335">
        <v>0</v>
      </c>
      <c r="P335">
        <v>0</v>
      </c>
      <c r="AC335">
        <f>SUM(F335,H335,J335,L335,N335,P335,R335,T335,V335,X335,Z335,AB335)</f>
        <v>0</v>
      </c>
    </row>
    <row r="336">
      <c r="A336" t="str">
        <v>97137</v>
      </c>
      <c r="B336" t="str">
        <v>Mycoplasma pneumoniae, PCR(Qualitative)</v>
      </c>
      <c r="D336">
        <v>1110</v>
      </c>
      <c r="F336">
        <v>0</v>
      </c>
      <c r="H336">
        <v>1</v>
      </c>
      <c r="J336">
        <v>1</v>
      </c>
      <c r="L336">
        <v>0</v>
      </c>
      <c r="N336">
        <v>1</v>
      </c>
      <c r="P336">
        <v>0</v>
      </c>
      <c r="AC336">
        <f>SUM(F336,H336,J336,L336,N336,P336,R336,T336,V336,X336,Z336,AB336)</f>
        <v>3</v>
      </c>
    </row>
    <row r="337">
      <c r="A337" t="str">
        <v>98100</v>
      </c>
      <c r="B337" t="str">
        <v>TCRG &amp; TCRB gene rearrangement</v>
      </c>
      <c r="D337">
        <v>30130</v>
      </c>
      <c r="F337">
        <v>0</v>
      </c>
      <c r="H337">
        <v>0</v>
      </c>
      <c r="J337">
        <v>0</v>
      </c>
      <c r="L337">
        <v>0</v>
      </c>
      <c r="N337">
        <v>0</v>
      </c>
      <c r="P337">
        <v>0</v>
      </c>
      <c r="AC337">
        <f>SUM(F337,H337,J337,L337,N337,P337,R337,T337,V337,X337,Z337,AB337)</f>
        <v>0</v>
      </c>
    </row>
    <row r="338">
      <c r="A338" t="str">
        <v>95068</v>
      </c>
      <c r="B338" t="str">
        <v>Heterophile Ab.(Mono test)</v>
      </c>
      <c r="D338">
        <v>200</v>
      </c>
      <c r="F338">
        <v>0</v>
      </c>
      <c r="H338">
        <v>0</v>
      </c>
      <c r="J338">
        <v>0</v>
      </c>
      <c r="L338">
        <v>0</v>
      </c>
      <c r="N338">
        <v>0</v>
      </c>
      <c r="P338">
        <v>0</v>
      </c>
      <c r="AC338">
        <f>SUM(F338,H338,J338,L338,N338,P338,R338,T338,V338,X338,Z338,AB338)</f>
        <v>0</v>
      </c>
    </row>
    <row r="339">
      <c r="A339" t="str">
        <v>97118</v>
      </c>
      <c r="B339" t="str">
        <v>BKV Virus PCR [BP]</v>
      </c>
      <c r="D339">
        <v>1600</v>
      </c>
      <c r="F339">
        <v>1</v>
      </c>
      <c r="H339">
        <v>0</v>
      </c>
      <c r="J339">
        <v>1</v>
      </c>
      <c r="L339">
        <v>0</v>
      </c>
      <c r="N339">
        <v>0</v>
      </c>
      <c r="P339">
        <v>0</v>
      </c>
      <c r="AC339">
        <f>SUM(F339,H339,J339,L339,N339,P339,R339,T339,V339,X339,Z339,AB339)</f>
        <v>2</v>
      </c>
    </row>
    <row r="340">
      <c r="A340" t="str">
        <v>98097</v>
      </c>
      <c r="B340" t="str">
        <v>Non AFB culture,Automated (ส่งรามา)</v>
      </c>
      <c r="D340">
        <v>1450</v>
      </c>
      <c r="F340">
        <v>0</v>
      </c>
      <c r="H340">
        <v>0</v>
      </c>
      <c r="J340">
        <v>0</v>
      </c>
      <c r="L340">
        <v>0</v>
      </c>
      <c r="N340">
        <v>0</v>
      </c>
      <c r="P340">
        <v>0</v>
      </c>
      <c r="AC340">
        <f>SUM(F340,H340,J340,L340,N340,P340,R340,T340,V340,X340,Z340,AB340)</f>
        <v>0</v>
      </c>
    </row>
    <row r="341">
      <c r="A341" t="str">
        <v>95048</v>
      </c>
      <c r="B341" t="str">
        <v>Duchenne/Becker-MLPA</v>
      </c>
      <c r="D341">
        <v>4700</v>
      </c>
      <c r="F341">
        <v>0</v>
      </c>
      <c r="H341">
        <v>0</v>
      </c>
      <c r="J341">
        <v>1</v>
      </c>
      <c r="L341">
        <v>1</v>
      </c>
      <c r="N341">
        <v>0</v>
      </c>
      <c r="P341">
        <v>0</v>
      </c>
      <c r="AC341">
        <f>SUM(F341,H341,J341,L341,N341,P341,R341,T341,V341,X341,Z341,AB341)</f>
        <v>2</v>
      </c>
    </row>
    <row r="342">
      <c r="A342" t="str">
        <v>92015</v>
      </c>
      <c r="B342" t="str">
        <v>Aldosterone (24 hr.Urine)</v>
      </c>
      <c r="D342">
        <v>1800</v>
      </c>
      <c r="F342">
        <v>0</v>
      </c>
      <c r="H342">
        <v>0</v>
      </c>
      <c r="J342">
        <v>0</v>
      </c>
      <c r="L342">
        <v>0</v>
      </c>
      <c r="N342">
        <v>0</v>
      </c>
      <c r="P342">
        <v>0</v>
      </c>
      <c r="AC342">
        <f>SUM(F342,H342,J342,L342,N342,P342,R342,T342,V342,X342,Z342,AB342)</f>
        <v>0</v>
      </c>
    </row>
    <row r="343">
      <c r="A343" t="str">
        <v>98072</v>
      </c>
      <c r="B343" t="str">
        <v>Flowcytometry : MRD, AML Panel (ส่งรามาฯ)</v>
      </c>
      <c r="D343">
        <v>5550</v>
      </c>
      <c r="F343">
        <v>0</v>
      </c>
      <c r="H343">
        <v>0</v>
      </c>
      <c r="J343">
        <v>1</v>
      </c>
      <c r="L343">
        <v>0</v>
      </c>
      <c r="N343">
        <v>0</v>
      </c>
      <c r="P343">
        <v>0</v>
      </c>
      <c r="AC343">
        <f>SUM(F343,H343,J343,L343,N343,P343,R343,T343,V343,X343,Z343,AB343)</f>
        <v>1</v>
      </c>
    </row>
    <row r="344">
      <c r="A344" t="str">
        <v>98106</v>
      </c>
      <c r="B344" t="str">
        <v>JAK2 exon12 mutation (ส่งจุฬา)</v>
      </c>
      <c r="D344">
        <v>1016</v>
      </c>
      <c r="F344">
        <v>0</v>
      </c>
      <c r="H344">
        <v>0</v>
      </c>
      <c r="J344">
        <v>1</v>
      </c>
      <c r="L344">
        <v>2</v>
      </c>
      <c r="N344">
        <v>0</v>
      </c>
      <c r="P344">
        <v>0</v>
      </c>
      <c r="AC344">
        <f>SUM(F344,H344,J344,L344,N344,P344,R344,T344,V344,X344,Z344,AB344)</f>
        <v>3</v>
      </c>
    </row>
    <row r="345">
      <c r="A345" t="str">
        <v>93002</v>
      </c>
      <c r="B345" t="str">
        <v>FISH for leukemia - BCR/ABL t(9;22)[HGL]</v>
      </c>
      <c r="D345">
        <v>3700</v>
      </c>
      <c r="F345">
        <v>0</v>
      </c>
      <c r="H345">
        <v>0</v>
      </c>
      <c r="J345">
        <v>0</v>
      </c>
      <c r="L345">
        <v>0</v>
      </c>
      <c r="N345">
        <v>0</v>
      </c>
      <c r="P345">
        <v>0</v>
      </c>
      <c r="AC345">
        <f>SUM(F345,H345,J345,L345,N345,P345,R345,T345,V345,X345,Z345,AB345)</f>
        <v>0</v>
      </c>
    </row>
    <row r="346">
      <c r="A346" t="str">
        <v>98094</v>
      </c>
      <c r="B346" t="str">
        <v>BCR-ABL p190 by quantitative PCR</v>
      </c>
      <c r="D346">
        <v>3550</v>
      </c>
      <c r="F346">
        <v>3</v>
      </c>
      <c r="H346">
        <v>1</v>
      </c>
      <c r="J346">
        <v>1</v>
      </c>
      <c r="L346">
        <v>1</v>
      </c>
      <c r="N346">
        <v>0</v>
      </c>
      <c r="P346">
        <v>1</v>
      </c>
      <c r="AC346">
        <f>SUM(F346,H346,J346,L346,N346,P346,R346,T346,V346,X346,Z346,AB346)</f>
        <v>7</v>
      </c>
    </row>
    <row r="347">
      <c r="A347" t="str">
        <v>98105</v>
      </c>
      <c r="B347" t="str">
        <v>Fecal Fat</v>
      </c>
      <c r="C347" t="str">
        <v>31205</v>
      </c>
      <c r="D347">
        <v>100</v>
      </c>
      <c r="F347">
        <v>0</v>
      </c>
      <c r="H347">
        <v>0</v>
      </c>
      <c r="J347">
        <v>0</v>
      </c>
      <c r="L347">
        <v>0</v>
      </c>
      <c r="N347">
        <v>0</v>
      </c>
      <c r="P347">
        <v>0</v>
      </c>
      <c r="AC347">
        <f>SUM(F347,H347,J347,L347,N347,P347,R347,T347,V347,X347,Z347,AB347)</f>
        <v>0</v>
      </c>
    </row>
    <row r="348">
      <c r="A348" t="str">
        <v>98085</v>
      </c>
      <c r="B348" t="str">
        <v>Thai NIPT (ครรภ์แฝด)</v>
      </c>
      <c r="D348">
        <v>10000</v>
      </c>
      <c r="F348">
        <v>0</v>
      </c>
      <c r="H348">
        <v>0</v>
      </c>
      <c r="J348">
        <v>0</v>
      </c>
      <c r="L348">
        <v>0</v>
      </c>
      <c r="N348">
        <v>0</v>
      </c>
      <c r="P348">
        <v>0</v>
      </c>
    </row>
    <row r="349">
      <c r="A349" t="str">
        <v>95001</v>
      </c>
      <c r="B349" t="str">
        <v>Chromosome study-Amniotic Fluid</v>
      </c>
      <c r="D349">
        <v>3000</v>
      </c>
      <c r="F349">
        <v>12</v>
      </c>
      <c r="H349">
        <v>11</v>
      </c>
      <c r="J349">
        <v>9</v>
      </c>
      <c r="L349">
        <v>11</v>
      </c>
      <c r="N349">
        <v>7</v>
      </c>
      <c r="P349">
        <v>8</v>
      </c>
      <c r="AC349">
        <f>SUM(F349,H349,J349,L349,N349,P349,R349,T349,V349,X349,Z349,AB349)</f>
        <v>58</v>
      </c>
    </row>
    <row r="350">
      <c r="A350" t="str">
        <v>95000</v>
      </c>
      <c r="B350" t="str">
        <v>Chromosome study-Blood</v>
      </c>
      <c r="D350">
        <v>836</v>
      </c>
      <c r="F350">
        <v>11</v>
      </c>
      <c r="H350">
        <v>7</v>
      </c>
      <c r="J350">
        <v>8</v>
      </c>
      <c r="L350">
        <v>13</v>
      </c>
      <c r="N350">
        <v>5</v>
      </c>
      <c r="P350">
        <v>9</v>
      </c>
      <c r="AC350">
        <f>SUM(F350,H350,J350,L350,N350,P350,R350,T350,V350,X350,Z350,AB350)</f>
        <v>53</v>
      </c>
    </row>
    <row r="351">
      <c r="A351" t="str">
        <v>95051</v>
      </c>
      <c r="B351" t="str">
        <v>Alpha thalassemia thal1</v>
      </c>
      <c r="D351">
        <v>495</v>
      </c>
      <c r="F351">
        <v>7</v>
      </c>
      <c r="H351">
        <v>16</v>
      </c>
      <c r="J351">
        <v>12</v>
      </c>
      <c r="L351">
        <v>14</v>
      </c>
      <c r="N351">
        <v>10</v>
      </c>
      <c r="P351">
        <v>12</v>
      </c>
      <c r="AC351">
        <f>SUM(F351,H351,J351,L351,N351,P351,R351,T351,V351,X351,Z351,AB351)</f>
        <v>71</v>
      </c>
    </row>
    <row r="352">
      <c r="A352" t="str">
        <v>97180</v>
      </c>
      <c r="B352" t="str">
        <v>Alpha Thalassemia 1,2/HbCS/PS(Complete Profile)</v>
      </c>
      <c r="D352">
        <v>1353</v>
      </c>
      <c r="F352">
        <v>5</v>
      </c>
      <c r="H352">
        <v>2</v>
      </c>
      <c r="J352">
        <v>3</v>
      </c>
      <c r="L352">
        <v>4</v>
      </c>
      <c r="N352">
        <v>4</v>
      </c>
      <c r="P352">
        <v>3</v>
      </c>
      <c r="AC352">
        <f>SUM(F352,H352,J352,L352,N352,P352,R352,T352,V352,X352,Z352,AB352)</f>
        <v>21</v>
      </c>
    </row>
    <row r="353">
      <c r="A353" t="str">
        <v>97012</v>
      </c>
      <c r="B353" t="str">
        <v>Beta thalassemia 10 common mutation</v>
      </c>
      <c r="D353">
        <v>1133</v>
      </c>
      <c r="F353">
        <v>1</v>
      </c>
      <c r="H353">
        <v>3</v>
      </c>
      <c r="J353">
        <v>6</v>
      </c>
      <c r="L353">
        <v>3</v>
      </c>
      <c r="N353">
        <v>2</v>
      </c>
      <c r="P353">
        <v>3</v>
      </c>
      <c r="AC353">
        <f>SUM(F353,H353,J353,L353,N353,P353,R353,T353,V353,X353,Z353,AB353)</f>
        <v>18</v>
      </c>
    </row>
    <row r="354">
      <c r="A354" t="str">
        <v>97194</v>
      </c>
      <c r="B354" t="str">
        <v>QF-PCR</v>
      </c>
      <c r="D354">
        <v>2750</v>
      </c>
      <c r="F354">
        <v>0</v>
      </c>
      <c r="H354">
        <v>0</v>
      </c>
      <c r="J354">
        <v>0</v>
      </c>
      <c r="L354">
        <v>0</v>
      </c>
      <c r="N354">
        <v>0</v>
      </c>
      <c r="P354">
        <v>0</v>
      </c>
      <c r="AC354">
        <f>SUM(F354,H354,J354,L354,N354,P354,R354,T354,V354,X354,Z354,AB354)</f>
        <v>0</v>
      </c>
    </row>
    <row r="355">
      <c r="A355" t="str">
        <v>97141</v>
      </c>
      <c r="B355" t="str">
        <v>FISH 1 โรค (ระบุโรค................................)</v>
      </c>
      <c r="D355">
        <v>3000</v>
      </c>
      <c r="F355">
        <v>2</v>
      </c>
      <c r="H355">
        <v>0</v>
      </c>
      <c r="J355">
        <v>2</v>
      </c>
      <c r="L355">
        <v>0</v>
      </c>
      <c r="N355">
        <v>1</v>
      </c>
      <c r="P355">
        <v>0</v>
      </c>
      <c r="AC355">
        <f>SUM(F355,H355,J355,L355,N355,P355,R355,T355,V355,X355,Z355,AB355)</f>
        <v>5</v>
      </c>
    </row>
    <row r="356">
      <c r="A356" t="str">
        <v>97014</v>
      </c>
      <c r="B356" t="str">
        <v>Beta-thalassemia common mutation+Beta-thalassemia 21 rare mutation</v>
      </c>
      <c r="D356">
        <v>2310</v>
      </c>
      <c r="F356">
        <v>1</v>
      </c>
      <c r="H356">
        <v>0</v>
      </c>
      <c r="J356">
        <v>3</v>
      </c>
      <c r="L356">
        <v>0</v>
      </c>
      <c r="N356">
        <v>3</v>
      </c>
      <c r="P356">
        <v>0</v>
      </c>
      <c r="AC356">
        <f>SUM(F356,H356,J356,L356,N356,P356,R356,T356,V356,X356,Z356,AB356)</f>
        <v>7</v>
      </c>
    </row>
    <row r="357">
      <c r="A357" t="str">
        <v>97260</v>
      </c>
      <c r="B357" t="str">
        <v>PND Thalassemia</v>
      </c>
      <c r="D357">
        <v>2915</v>
      </c>
      <c r="F357">
        <v>1</v>
      </c>
      <c r="H357">
        <v>0</v>
      </c>
      <c r="J357">
        <v>1</v>
      </c>
      <c r="L357">
        <v>1</v>
      </c>
      <c r="N357">
        <v>0</v>
      </c>
      <c r="P357">
        <v>0</v>
      </c>
      <c r="AC357">
        <f>SUM(F357,H357,J357,L357,N357,P357,R357,T357,V357,X357,Z357,AB357)</f>
        <v>3</v>
      </c>
    </row>
    <row r="358">
      <c r="A358" t="str">
        <v>98088</v>
      </c>
      <c r="B358" t="str">
        <v>BRCA1 and BRCA2 analysis – MA828(ผู้ป่วย)</v>
      </c>
      <c r="D358" t="str">
        <v>0(10000)</v>
      </c>
      <c r="F358">
        <v>5</v>
      </c>
      <c r="H358">
        <v>10</v>
      </c>
      <c r="J358">
        <v>2</v>
      </c>
      <c r="L358">
        <v>1</v>
      </c>
      <c r="N358">
        <v>5</v>
      </c>
      <c r="P358">
        <v>8</v>
      </c>
      <c r="AC358">
        <f>SUM(F358,H358,J358,L358,N358,P358,R358,T358,V358,X358,Z358,AB358)</f>
        <v>31</v>
      </c>
    </row>
    <row r="359">
      <c r="A359" t="str">
        <v>97013</v>
      </c>
      <c r="B359" t="str">
        <v>Beta-thalassemia 21 rare mutation</v>
      </c>
      <c r="D359">
        <v>1650</v>
      </c>
      <c r="F359">
        <v>3</v>
      </c>
      <c r="H359">
        <v>0</v>
      </c>
      <c r="J359">
        <v>0</v>
      </c>
      <c r="L359">
        <v>0</v>
      </c>
      <c r="N359">
        <v>0</v>
      </c>
      <c r="P359">
        <v>1</v>
      </c>
      <c r="AC359">
        <f>SUM(F359,H359,J359,L359,N359,P359,R359,T359,V359,X359,Z359,AB359)</f>
        <v>4</v>
      </c>
    </row>
    <row r="360">
      <c r="A360" t="str">
        <v>98089</v>
      </c>
      <c r="B360" t="str">
        <v>BRCA1 and BRCA2 analysis – MA828(ญาติสายตรง)</v>
      </c>
      <c r="D360" t="str">
        <v>0(2200)</v>
      </c>
      <c r="F360">
        <v>0</v>
      </c>
      <c r="H360">
        <v>0</v>
      </c>
      <c r="J360">
        <v>0</v>
      </c>
      <c r="L360">
        <v>0</v>
      </c>
      <c r="N360">
        <v>2</v>
      </c>
      <c r="P360">
        <v>0</v>
      </c>
      <c r="AC360">
        <f>SUM(F360,H360,J360,L360,N360,P360,R360,T360,V360,X360,Z360,AB360)</f>
        <v>2</v>
      </c>
    </row>
    <row r="361">
      <c r="A361" t="str">
        <v>95053</v>
      </c>
      <c r="B361" t="str">
        <v>Alpha thalassemia thal2</v>
      </c>
      <c r="D361">
        <v>715</v>
      </c>
      <c r="F361">
        <v>1</v>
      </c>
      <c r="H361">
        <v>0</v>
      </c>
      <c r="J361">
        <v>0</v>
      </c>
      <c r="L361">
        <v>0</v>
      </c>
      <c r="N361">
        <v>0</v>
      </c>
      <c r="P361">
        <v>0</v>
      </c>
      <c r="AC361">
        <f>SUM(F361,H361,J361,L361,N361,P361,R361,T361,V361,X361,Z361,AB361)</f>
        <v>1</v>
      </c>
    </row>
    <row r="362">
      <c r="A362" t="str">
        <v>98045</v>
      </c>
      <c r="B362" t="str">
        <v>Alpha Thal-1 &amp; 2 (3.7+4.2 kb)</v>
      </c>
      <c r="D362">
        <v>1210</v>
      </c>
      <c r="F362">
        <v>0</v>
      </c>
      <c r="H362">
        <v>0</v>
      </c>
      <c r="J362">
        <v>0</v>
      </c>
      <c r="L362">
        <v>0</v>
      </c>
      <c r="N362">
        <v>1</v>
      </c>
      <c r="P362">
        <v>0</v>
      </c>
      <c r="AC362">
        <f>SUM(F362,H362,J362,L362,N362,P362,R362,T362,V362,X362,Z362,AB362)</f>
        <v>1</v>
      </c>
    </row>
    <row r="363">
      <c r="A363" t="str">
        <v>95086</v>
      </c>
      <c r="B363" t="str">
        <v>Chromosome study -จากชิ้นเนื้อรก(CVS)</v>
      </c>
      <c r="D363">
        <v>3000</v>
      </c>
      <c r="F363">
        <v>0</v>
      </c>
      <c r="H363">
        <v>0</v>
      </c>
      <c r="J363">
        <v>0</v>
      </c>
      <c r="L363">
        <v>0</v>
      </c>
      <c r="N363">
        <v>0</v>
      </c>
      <c r="P363">
        <v>0</v>
      </c>
      <c r="AC363">
        <f>SUM(F363,H363,J363,L363,N363,P363,R363,T363,V363,X363,Z363,AB363)</f>
        <v>0</v>
      </c>
    </row>
    <row r="364">
      <c r="A364" t="str">
        <v>95075</v>
      </c>
      <c r="B364" t="str">
        <v>sFLT-1/PlGF ratio (Preeclampsia)</v>
      </c>
      <c r="D364">
        <v>3740</v>
      </c>
      <c r="F364">
        <v>0</v>
      </c>
      <c r="H364">
        <v>0</v>
      </c>
      <c r="J364">
        <v>0</v>
      </c>
      <c r="L364">
        <v>0</v>
      </c>
      <c r="N364">
        <v>0</v>
      </c>
      <c r="P364">
        <v>0</v>
      </c>
      <c r="AC364">
        <f>SUM(F364,H364,J364,L364,N364,P364,R364,T364,V364,X364,Z364,AB364)</f>
        <v>0</v>
      </c>
    </row>
    <row r="365">
      <c r="A365" t="str">
        <v>98021</v>
      </c>
      <c r="B365" t="str">
        <v>EGFR : การตรวจหาการกลายพันธุ์ของยีน EGFR</v>
      </c>
      <c r="D365">
        <v>6500</v>
      </c>
      <c r="F365">
        <v>0</v>
      </c>
      <c r="H365">
        <v>0</v>
      </c>
      <c r="J365">
        <v>0</v>
      </c>
      <c r="L365">
        <v>0</v>
      </c>
      <c r="N365">
        <v>0</v>
      </c>
      <c r="P365">
        <v>0</v>
      </c>
    </row>
    <row r="366">
      <c r="A366" t="str">
        <v>98038</v>
      </c>
      <c r="B366" t="str">
        <v>Panorama™ NIPT Basic Thailand Panel</v>
      </c>
      <c r="D366">
        <v>13080</v>
      </c>
      <c r="F366">
        <v>0</v>
      </c>
      <c r="H366">
        <v>0</v>
      </c>
      <c r="J366">
        <v>0</v>
      </c>
      <c r="L366">
        <v>0</v>
      </c>
      <c r="N366">
        <v>0</v>
      </c>
      <c r="P366">
        <v>0</v>
      </c>
    </row>
    <row r="367">
      <c r="A367" t="str">
        <v>97266</v>
      </c>
      <c r="B367" t="str">
        <v>Panorama™ NIPT Basic USA Panel</v>
      </c>
      <c r="D367">
        <v>19200</v>
      </c>
      <c r="F367">
        <v>0</v>
      </c>
      <c r="H367">
        <v>0</v>
      </c>
      <c r="J367">
        <v>0</v>
      </c>
      <c r="L367">
        <v>0</v>
      </c>
      <c r="N367">
        <v>0</v>
      </c>
      <c r="P367">
        <v>0</v>
      </c>
    </row>
    <row r="368">
      <c r="A368" t="str">
        <v>97115</v>
      </c>
      <c r="B368" t="str">
        <v>Dengue Ab, IgG titer paired sample [DMSc]</v>
      </c>
      <c r="D368">
        <v>0</v>
      </c>
      <c r="F368">
        <v>0</v>
      </c>
      <c r="H368">
        <v>0</v>
      </c>
      <c r="J368">
        <v>0</v>
      </c>
      <c r="L368">
        <v>0</v>
      </c>
      <c r="N368">
        <v>0</v>
      </c>
      <c r="P368">
        <v>0</v>
      </c>
    </row>
    <row r="369">
      <c r="A369" t="str">
        <v>97116</v>
      </c>
      <c r="B369" t="str">
        <v>Dengue Ab, IgM titer paired sample [DMSc]</v>
      </c>
      <c r="D369">
        <v>0</v>
      </c>
      <c r="F369">
        <v>0</v>
      </c>
      <c r="H369">
        <v>0</v>
      </c>
      <c r="J369">
        <v>0</v>
      </c>
      <c r="L369">
        <v>0</v>
      </c>
      <c r="N369">
        <v>0</v>
      </c>
      <c r="P369">
        <v>0</v>
      </c>
    </row>
    <row r="370">
      <c r="A370" t="str">
        <v>91000</v>
      </c>
      <c r="B370" t="str">
        <v>Dengue RT-PCR [สคร.6]</v>
      </c>
      <c r="D370">
        <v>0</v>
      </c>
      <c r="F370">
        <v>0</v>
      </c>
      <c r="H370">
        <v>0</v>
      </c>
      <c r="J370">
        <v>1</v>
      </c>
      <c r="L370">
        <v>1</v>
      </c>
      <c r="N370">
        <v>0</v>
      </c>
      <c r="P370">
        <v>0</v>
      </c>
    </row>
    <row r="371">
      <c r="A371" t="str">
        <v>92245</v>
      </c>
      <c r="B371" t="str">
        <v>Polio virus (Acute Flaccid Paralysis : AFP) [DMSc]</v>
      </c>
      <c r="D371">
        <v>0</v>
      </c>
      <c r="F371">
        <v>2</v>
      </c>
      <c r="H371">
        <v>0</v>
      </c>
      <c r="J371">
        <v>0</v>
      </c>
      <c r="L371">
        <v>0</v>
      </c>
      <c r="N371">
        <v>0</v>
      </c>
      <c r="P371">
        <v>0</v>
      </c>
    </row>
    <row r="372">
      <c r="A372" t="str">
        <v>92346</v>
      </c>
      <c r="B372" t="str">
        <v>Rabies PCR (ระบุตัวอย่างส่งตรวจ..................) [สคร.6]</v>
      </c>
      <c r="D372">
        <v>0</v>
      </c>
      <c r="F372">
        <v>0</v>
      </c>
      <c r="H372">
        <v>0</v>
      </c>
      <c r="J372">
        <v>0</v>
      </c>
      <c r="L372">
        <v>0</v>
      </c>
      <c r="N372">
        <v>0</v>
      </c>
      <c r="P372">
        <v>0</v>
      </c>
    </row>
    <row r="373">
      <c r="A373" t="str">
        <v>97085</v>
      </c>
      <c r="B373" t="str">
        <v>Rabies, IFA (ระบุตัวอย่างส่งตรวจ..................) [สคร.6]</v>
      </c>
      <c r="D373">
        <v>0</v>
      </c>
      <c r="F373">
        <v>0</v>
      </c>
      <c r="H373">
        <v>0</v>
      </c>
      <c r="J373">
        <v>0</v>
      </c>
      <c r="L373">
        <v>0</v>
      </c>
      <c r="N373">
        <v>0</v>
      </c>
      <c r="P373">
        <v>0</v>
      </c>
    </row>
    <row r="374">
      <c r="A374" t="str">
        <v>97035</v>
      </c>
      <c r="B374" t="str">
        <v>ตรวจหาโรคทางเดินหายใจตะวันออกกลาง(MERS-CoV) ส่งศูนย์วิทยาศาสตร์การแพทย์ชลบุรี</v>
      </c>
      <c r="D374">
        <v>0</v>
      </c>
      <c r="F374">
        <v>0</v>
      </c>
      <c r="H374">
        <v>0</v>
      </c>
      <c r="J374">
        <v>0</v>
      </c>
      <c r="L374">
        <v>0</v>
      </c>
      <c r="N374">
        <v>0</v>
      </c>
      <c r="P374">
        <v>0</v>
      </c>
    </row>
    <row r="375">
      <c r="A375" t="str">
        <v>97100</v>
      </c>
      <c r="B375" t="str">
        <v>Zika virus RT-PCR [สคร.6]</v>
      </c>
      <c r="D375">
        <v>0</v>
      </c>
      <c r="F375">
        <v>14</v>
      </c>
      <c r="H375">
        <v>10</v>
      </c>
      <c r="J375">
        <v>13</v>
      </c>
      <c r="L375">
        <v>7</v>
      </c>
      <c r="N375">
        <v>6</v>
      </c>
      <c r="P375">
        <v>4</v>
      </c>
    </row>
    <row r="376">
      <c r="A376" t="str">
        <v>97101</v>
      </c>
      <c r="B376" t="str">
        <v>Zika virus Ab, IgM [สคร.6]</v>
      </c>
      <c r="D376">
        <v>0</v>
      </c>
      <c r="F376">
        <v>6</v>
      </c>
      <c r="H376">
        <v>6</v>
      </c>
      <c r="J376">
        <v>5</v>
      </c>
      <c r="L376">
        <v>4</v>
      </c>
      <c r="N376">
        <v>8</v>
      </c>
      <c r="P376">
        <v>5</v>
      </c>
    </row>
    <row r="377">
      <c r="A377" t="str">
        <v>97102</v>
      </c>
      <c r="B377" t="str">
        <v>Zika virus Ab, IgG [สคร.6]</v>
      </c>
      <c r="D377">
        <v>0</v>
      </c>
      <c r="F377">
        <v>6</v>
      </c>
      <c r="H377">
        <v>4</v>
      </c>
      <c r="J377">
        <v>5</v>
      </c>
      <c r="L377">
        <v>4</v>
      </c>
      <c r="N377">
        <v>8</v>
      </c>
      <c r="P377">
        <v>5</v>
      </c>
    </row>
    <row r="378">
      <c r="A378" t="str">
        <v>97119</v>
      </c>
      <c r="B378" t="str">
        <v>RV16 (Rhinovirus 16) [DMSc]</v>
      </c>
      <c r="D378">
        <v>0</v>
      </c>
      <c r="F378">
        <v>0</v>
      </c>
      <c r="H378">
        <v>0</v>
      </c>
      <c r="J378">
        <v>0</v>
      </c>
      <c r="L378">
        <v>0</v>
      </c>
      <c r="N378">
        <v>0</v>
      </c>
      <c r="P378">
        <v>0</v>
      </c>
    </row>
    <row r="379">
      <c r="A379" t="str">
        <v>97199</v>
      </c>
      <c r="B379" t="str">
        <v>Chikungunya RT-PCR [DMSc]</v>
      </c>
      <c r="D379">
        <v>0</v>
      </c>
      <c r="F379">
        <v>0</v>
      </c>
      <c r="H379">
        <v>0</v>
      </c>
      <c r="J379">
        <v>0</v>
      </c>
      <c r="L379">
        <v>0</v>
      </c>
      <c r="N379">
        <v>0</v>
      </c>
      <c r="P379">
        <v>0</v>
      </c>
    </row>
    <row r="380">
      <c r="A380" t="str">
        <v>98101</v>
      </c>
      <c r="B380" t="str">
        <v>Monkey Pox virus (RT-PCR) **ส่งสคร.6</v>
      </c>
      <c r="D380">
        <v>0</v>
      </c>
      <c r="F380">
        <v>0</v>
      </c>
      <c r="H380">
        <v>1</v>
      </c>
      <c r="J380">
        <v>0</v>
      </c>
      <c r="L380">
        <v>0</v>
      </c>
      <c r="N380">
        <v>1</v>
      </c>
      <c r="P380">
        <v>0</v>
      </c>
    </row>
    <row r="381">
      <c r="A381" t="str">
        <v>98109</v>
      </c>
      <c r="B381" t="str">
        <v>JE&amp; Dengue Ab, IgM Antibody ; IgM [DMSc]</v>
      </c>
      <c r="D381">
        <v>0</v>
      </c>
      <c r="F381">
        <v>0</v>
      </c>
      <c r="H381">
        <v>1</v>
      </c>
      <c r="J381">
        <v>0</v>
      </c>
      <c r="L381">
        <v>0</v>
      </c>
      <c r="N381">
        <v>0</v>
      </c>
      <c r="P381">
        <v>0</v>
      </c>
    </row>
    <row r="382">
      <c r="A382" t="str">
        <v>98110</v>
      </c>
      <c r="B382" t="str">
        <v>JE&amp; Dengue Ab, IgM Antibody ; IgG [DMSc]</v>
      </c>
      <c r="D382">
        <v>0</v>
      </c>
      <c r="F382">
        <v>0</v>
      </c>
      <c r="H382">
        <v>1</v>
      </c>
      <c r="J382">
        <v>0</v>
      </c>
      <c r="L382">
        <v>0</v>
      </c>
      <c r="N382">
        <v>0</v>
      </c>
      <c r="P382">
        <v>0</v>
      </c>
    </row>
    <row r="383">
      <c r="A383" t="str">
        <v>97136</v>
      </c>
      <c r="B383" t="str">
        <v>Measles Ab., IgM [DMSc]</v>
      </c>
      <c r="D383">
        <v>0</v>
      </c>
      <c r="F383">
        <v>2</v>
      </c>
      <c r="H383">
        <v>1</v>
      </c>
      <c r="J383">
        <v>26</v>
      </c>
      <c r="L383">
        <v>0</v>
      </c>
      <c r="N383">
        <v>0</v>
      </c>
      <c r="P383">
        <v>0</v>
      </c>
    </row>
    <row r="384">
      <c r="A384" t="str">
        <v>98133</v>
      </c>
      <c r="B384" t="str">
        <v>NAT2 diplotype</v>
      </c>
      <c r="D384">
        <v>0</v>
      </c>
      <c r="F384">
        <v>26</v>
      </c>
      <c r="H384">
        <v>29</v>
      </c>
      <c r="J384">
        <v>22</v>
      </c>
      <c r="L384">
        <v>0</v>
      </c>
      <c r="N384">
        <v>0</v>
      </c>
      <c r="P384">
        <v>0</v>
      </c>
    </row>
    <row r="385">
      <c r="A385" t="str">
        <v>98134</v>
      </c>
      <c r="B385" t="str">
        <v>Syphilis PCR (กรณีทารกเสียชีวิตในครรภ์)</v>
      </c>
      <c r="D385">
        <v>0</v>
      </c>
      <c r="F385">
        <v>0</v>
      </c>
      <c r="H385">
        <v>0</v>
      </c>
      <c r="J385">
        <v>0</v>
      </c>
      <c r="L385">
        <v>0</v>
      </c>
      <c r="N385">
        <v>0</v>
      </c>
      <c r="P385">
        <v>0</v>
      </c>
    </row>
    <row r="386">
      <c r="A386" t="str">
        <v>98120</v>
      </c>
      <c r="B386" t="str">
        <v>IEM :  Inborn error of Metabolic</v>
      </c>
      <c r="D386">
        <v>500</v>
      </c>
      <c r="F386">
        <v>50</v>
      </c>
      <c r="H386">
        <v>42</v>
      </c>
      <c r="J386">
        <v>53</v>
      </c>
      <c r="L386">
        <v>40</v>
      </c>
      <c r="N386">
        <v>29</v>
      </c>
      <c r="P386">
        <v>21</v>
      </c>
    </row>
    <row r="387">
      <c r="A387" t="str">
        <v>97086</v>
      </c>
      <c r="B387" t="str">
        <v>[PCR1]: Dry Blood spot for HIV-1</v>
      </c>
      <c r="D387" t="str">
        <v>0(1000)</v>
      </c>
      <c r="F387">
        <v>2</v>
      </c>
      <c r="H387">
        <v>4</v>
      </c>
      <c r="J387">
        <v>7</v>
      </c>
      <c r="L387">
        <v>3</v>
      </c>
      <c r="N387">
        <v>2</v>
      </c>
      <c r="P387">
        <v>0</v>
      </c>
    </row>
    <row r="388">
      <c r="A388" t="str">
        <v>97087</v>
      </c>
      <c r="B388" t="str">
        <v>[PCR2]: Dry Blood spot for HIV-1</v>
      </c>
      <c r="D388" t="str">
        <v>0(1000)</v>
      </c>
      <c r="F388">
        <v>0</v>
      </c>
      <c r="H388">
        <v>1</v>
      </c>
      <c r="J388">
        <v>5</v>
      </c>
      <c r="L388">
        <v>4</v>
      </c>
      <c r="N388">
        <v>4</v>
      </c>
      <c r="P388">
        <v>0</v>
      </c>
    </row>
    <row r="389">
      <c r="A389" t="str">
        <v>97088</v>
      </c>
      <c r="B389" t="str">
        <v>[PCR3]: Dry Blood spot for HIV-1</v>
      </c>
      <c r="D389" t="str">
        <v>0(1000)</v>
      </c>
      <c r="F389">
        <v>1</v>
      </c>
      <c r="H389">
        <v>0</v>
      </c>
      <c r="J389">
        <v>2</v>
      </c>
      <c r="L389">
        <v>1</v>
      </c>
      <c r="N389">
        <v>3</v>
      </c>
      <c r="P389">
        <v>0</v>
      </c>
    </row>
    <row r="390">
      <c r="A390" t="str">
        <v>97089</v>
      </c>
      <c r="B390" t="str">
        <v>[PCR4]: Dry Blood spot for HIV-1</v>
      </c>
      <c r="D390" t="str">
        <v>0(1000)</v>
      </c>
      <c r="F390">
        <v>0</v>
      </c>
      <c r="H390">
        <v>0</v>
      </c>
      <c r="J390">
        <v>0</v>
      </c>
      <c r="L390">
        <v>0</v>
      </c>
      <c r="N390">
        <v>1</v>
      </c>
      <c r="P390">
        <v>1</v>
      </c>
    </row>
    <row r="391">
      <c r="A391" t="str">
        <v>97059</v>
      </c>
      <c r="B391" t="str">
        <v>HIV Genotype Drug Resistance (RT+PR)/เฉพาะ ปกส.</v>
      </c>
      <c r="D391" t="str">
        <v>0(6000)</v>
      </c>
      <c r="F391">
        <v>2</v>
      </c>
      <c r="H391">
        <v>1</v>
      </c>
      <c r="J391">
        <v>1</v>
      </c>
      <c r="L391">
        <v>2</v>
      </c>
      <c r="N391">
        <v>1</v>
      </c>
      <c r="P391">
        <v>0</v>
      </c>
    </row>
    <row r="392">
      <c r="A392" t="str">
        <v>97073</v>
      </c>
      <c r="B392" t="str">
        <v>HIV Genotype Drug Resistance (RT+PR)/เฉพาะ UC</v>
      </c>
      <c r="D392" t="str">
        <v>0(6000)</v>
      </c>
      <c r="F392">
        <v>4</v>
      </c>
      <c r="H392">
        <v>2</v>
      </c>
      <c r="J392">
        <v>0</v>
      </c>
      <c r="L392">
        <v>0</v>
      </c>
      <c r="N392">
        <v>0</v>
      </c>
      <c r="P392">
        <v>1</v>
      </c>
    </row>
    <row r="393">
      <c r="A393" t="str">
        <v>97174</v>
      </c>
      <c r="B393" t="str">
        <v>Quadruple test (งานตรวจพิเษฯ ตรวจเอง)</v>
      </c>
      <c r="D393" t="str">
        <v>0(1200)</v>
      </c>
      <c r="F393">
        <v>211</v>
      </c>
      <c r="H393">
        <v>148</v>
      </c>
      <c r="J393">
        <v>62</v>
      </c>
      <c r="L393">
        <v>40</v>
      </c>
      <c r="N393">
        <v>34</v>
      </c>
      <c r="P393">
        <v>30</v>
      </c>
      <c r="AC393">
        <f>SUM(E393:AB393)</f>
        <v>525</v>
      </c>
    </row>
    <row r="394">
      <c r="A394" t="str">
        <v>92005</v>
      </c>
      <c r="B394" t="str">
        <v>5-Hydroxyindoleacetic Acid (5-HIAA).Quantitative</v>
      </c>
      <c r="D394">
        <v>800</v>
      </c>
      <c r="F394">
        <v>0</v>
      </c>
      <c r="H394">
        <v>0</v>
      </c>
      <c r="J394">
        <v>0</v>
      </c>
      <c r="L394">
        <v>0</v>
      </c>
      <c r="N394">
        <v>0</v>
      </c>
      <c r="P394">
        <v>0</v>
      </c>
    </row>
    <row r="395">
      <c r="A395" t="str">
        <v>92009</v>
      </c>
      <c r="B395" t="str">
        <v>Adenovirus Ab,IgM</v>
      </c>
      <c r="D395">
        <v>500</v>
      </c>
      <c r="F395">
        <v>0</v>
      </c>
      <c r="H395">
        <v>0</v>
      </c>
      <c r="J395">
        <v>0</v>
      </c>
      <c r="L395">
        <v>0</v>
      </c>
      <c r="N395">
        <v>0</v>
      </c>
      <c r="P395">
        <v>0</v>
      </c>
    </row>
    <row r="396">
      <c r="A396" t="str">
        <v>92013</v>
      </c>
      <c r="B396" t="str">
        <v>Aldolase</v>
      </c>
      <c r="D396">
        <v>700</v>
      </c>
      <c r="F396">
        <v>0</v>
      </c>
      <c r="H396">
        <v>0</v>
      </c>
      <c r="J396">
        <v>0</v>
      </c>
      <c r="L396">
        <v>0</v>
      </c>
      <c r="N396">
        <v>0</v>
      </c>
      <c r="P396">
        <v>0</v>
      </c>
    </row>
    <row r="397">
      <c r="A397" t="str">
        <v>92017</v>
      </c>
      <c r="B397" t="str">
        <v>Alkaptonuria</v>
      </c>
      <c r="C397" t="str">
        <v>N health ไม่มีให้บริการค่ะ</v>
      </c>
      <c r="D397" t="str">
        <v>-</v>
      </c>
      <c r="F397">
        <v>0</v>
      </c>
      <c r="H397">
        <v>0</v>
      </c>
      <c r="J397">
        <v>0</v>
      </c>
      <c r="L397">
        <v>0</v>
      </c>
      <c r="N397">
        <v>0</v>
      </c>
      <c r="P397">
        <v>0</v>
      </c>
    </row>
    <row r="398">
      <c r="A398" t="str">
        <v>92018</v>
      </c>
      <c r="B398" t="str">
        <v>Aluminium (Al)</v>
      </c>
      <c r="D398">
        <v>350</v>
      </c>
      <c r="F398">
        <v>0</v>
      </c>
      <c r="H398">
        <v>0</v>
      </c>
      <c r="J398">
        <v>0</v>
      </c>
      <c r="L398">
        <v>0</v>
      </c>
      <c r="N398">
        <v>0</v>
      </c>
      <c r="P398">
        <v>0</v>
      </c>
    </row>
    <row r="399">
      <c r="A399" t="str">
        <v>92019</v>
      </c>
      <c r="B399" t="str">
        <v>Amikacin</v>
      </c>
      <c r="D399">
        <v>350</v>
      </c>
      <c r="F399">
        <v>0</v>
      </c>
      <c r="H399">
        <v>0</v>
      </c>
      <c r="J399">
        <v>0</v>
      </c>
      <c r="L399">
        <v>0</v>
      </c>
      <c r="N399">
        <v>0</v>
      </c>
      <c r="P399">
        <v>0</v>
      </c>
    </row>
    <row r="400">
      <c r="A400" t="str">
        <v>92027</v>
      </c>
      <c r="B400" t="str">
        <v>CMV Ab. , IgG , CSF</v>
      </c>
      <c r="D400">
        <v>1950</v>
      </c>
      <c r="F400">
        <v>0</v>
      </c>
      <c r="H400">
        <v>0</v>
      </c>
      <c r="J400">
        <v>0</v>
      </c>
      <c r="L400">
        <v>0</v>
      </c>
      <c r="N400">
        <v>0</v>
      </c>
      <c r="P400">
        <v>0</v>
      </c>
    </row>
    <row r="401">
      <c r="A401" t="str">
        <v>92029</v>
      </c>
      <c r="B401" t="str">
        <v>CMV Ab. , Ig M, CSF</v>
      </c>
      <c r="D401">
        <v>1950</v>
      </c>
      <c r="F401">
        <v>0</v>
      </c>
      <c r="H401">
        <v>0</v>
      </c>
      <c r="J401">
        <v>0</v>
      </c>
      <c r="L401">
        <v>0</v>
      </c>
      <c r="N401">
        <v>0</v>
      </c>
      <c r="P401">
        <v>0</v>
      </c>
    </row>
    <row r="402">
      <c r="A402" t="str">
        <v>92040</v>
      </c>
      <c r="B402" t="str">
        <v>HBc Ab. , IgM</v>
      </c>
      <c r="D402">
        <v>300</v>
      </c>
      <c r="F402">
        <v>1</v>
      </c>
      <c r="H402">
        <v>5</v>
      </c>
      <c r="J402">
        <v>3</v>
      </c>
      <c r="L402">
        <v>1</v>
      </c>
      <c r="N402">
        <v>2</v>
      </c>
      <c r="P402">
        <v>3</v>
      </c>
    </row>
    <row r="403">
      <c r="A403" t="str">
        <v>92062</v>
      </c>
      <c r="B403" t="str">
        <v>Arsenic (As),Urine</v>
      </c>
      <c r="D403">
        <v>600</v>
      </c>
      <c r="F403">
        <v>0</v>
      </c>
      <c r="H403">
        <v>0</v>
      </c>
      <c r="J403">
        <v>0</v>
      </c>
      <c r="L403">
        <v>0</v>
      </c>
      <c r="N403">
        <v>0</v>
      </c>
      <c r="P403">
        <v>0</v>
      </c>
    </row>
    <row r="404">
      <c r="A404" t="str">
        <v>92066</v>
      </c>
      <c r="B404" t="str">
        <v>Benzodiazepine,Gastric content</v>
      </c>
      <c r="D404">
        <v>200</v>
      </c>
      <c r="F404">
        <v>0</v>
      </c>
      <c r="H404">
        <v>0</v>
      </c>
      <c r="J404">
        <v>0</v>
      </c>
      <c r="L404">
        <v>0</v>
      </c>
      <c r="N404">
        <v>0</v>
      </c>
      <c r="P404">
        <v>0</v>
      </c>
    </row>
    <row r="405">
      <c r="A405" t="str">
        <v>92070</v>
      </c>
      <c r="B405" t="str">
        <v>Bromide (Br), Blood</v>
      </c>
      <c r="D405">
        <v>470</v>
      </c>
      <c r="F405">
        <v>0</v>
      </c>
      <c r="H405">
        <v>0</v>
      </c>
      <c r="J405">
        <v>0</v>
      </c>
      <c r="L405">
        <v>0</v>
      </c>
      <c r="N405">
        <v>0</v>
      </c>
      <c r="P405">
        <v>0</v>
      </c>
    </row>
    <row r="406">
      <c r="A406" t="str">
        <v>92075</v>
      </c>
      <c r="B406" t="str">
        <v>Cadmiun (Cd), Blood</v>
      </c>
      <c r="D406">
        <v>420</v>
      </c>
      <c r="F406">
        <v>0</v>
      </c>
      <c r="H406">
        <v>0</v>
      </c>
      <c r="J406">
        <v>0</v>
      </c>
      <c r="L406">
        <v>0</v>
      </c>
      <c r="N406">
        <v>0</v>
      </c>
      <c r="P406">
        <v>0</v>
      </c>
    </row>
    <row r="407">
      <c r="A407" t="str">
        <v>92076</v>
      </c>
      <c r="B407" t="str">
        <v>Cadmium (Cd), Urine</v>
      </c>
      <c r="D407">
        <v>650</v>
      </c>
      <c r="F407">
        <v>0</v>
      </c>
      <c r="H407">
        <v>0</v>
      </c>
      <c r="J407">
        <v>0</v>
      </c>
      <c r="L407">
        <v>0</v>
      </c>
      <c r="N407">
        <v>0</v>
      </c>
      <c r="P407">
        <v>0</v>
      </c>
    </row>
    <row r="408">
      <c r="A408" t="str">
        <v>92078</v>
      </c>
      <c r="B408" t="str">
        <v>Campylobacter culture</v>
      </c>
      <c r="D408">
        <v>550</v>
      </c>
      <c r="F408">
        <v>0</v>
      </c>
      <c r="H408">
        <v>0</v>
      </c>
      <c r="J408">
        <v>0</v>
      </c>
      <c r="L408">
        <v>0</v>
      </c>
      <c r="N408">
        <v>0</v>
      </c>
      <c r="P408">
        <v>0</v>
      </c>
    </row>
    <row r="409">
      <c r="A409" t="str">
        <v>92079</v>
      </c>
      <c r="B409" t="str">
        <v>Carbamate, Gastric Content</v>
      </c>
      <c r="D409">
        <v>480</v>
      </c>
      <c r="F409">
        <v>0</v>
      </c>
      <c r="H409">
        <v>0</v>
      </c>
      <c r="J409">
        <v>0</v>
      </c>
      <c r="L409">
        <v>0</v>
      </c>
      <c r="N409">
        <v>0</v>
      </c>
      <c r="P409">
        <v>0</v>
      </c>
    </row>
    <row r="410">
      <c r="A410" t="str">
        <v>92082</v>
      </c>
      <c r="B410" t="str">
        <v>Cathecholamine,(24 hrs.urine)</v>
      </c>
      <c r="D410">
        <v>1500</v>
      </c>
      <c r="F410">
        <v>0</v>
      </c>
      <c r="H410">
        <v>0</v>
      </c>
      <c r="J410">
        <v>0</v>
      </c>
      <c r="L410">
        <v>0</v>
      </c>
      <c r="N410">
        <v>0</v>
      </c>
      <c r="P410">
        <v>0</v>
      </c>
    </row>
    <row r="411">
      <c r="A411" t="str">
        <v>92086</v>
      </c>
      <c r="B411" t="str">
        <v>Chlamydia pneumoiae Ab., IgG, titer</v>
      </c>
      <c r="D411">
        <v>600</v>
      </c>
      <c r="F411">
        <v>0</v>
      </c>
      <c r="H411">
        <v>0</v>
      </c>
      <c r="J411">
        <v>0</v>
      </c>
      <c r="L411">
        <v>0</v>
      </c>
      <c r="N411">
        <v>0</v>
      </c>
      <c r="P411">
        <v>0</v>
      </c>
    </row>
    <row r="412">
      <c r="A412" t="str">
        <v>92087</v>
      </c>
      <c r="B412" t="str">
        <v>Chlamydia pneumoiae Ab., IgM, titer</v>
      </c>
      <c r="D412">
        <v>600</v>
      </c>
      <c r="F412">
        <v>0</v>
      </c>
      <c r="H412">
        <v>0</v>
      </c>
      <c r="J412">
        <v>0</v>
      </c>
      <c r="L412">
        <v>0</v>
      </c>
      <c r="N412">
        <v>0</v>
      </c>
      <c r="P412">
        <v>0</v>
      </c>
    </row>
    <row r="413">
      <c r="A413" t="str">
        <v>92090</v>
      </c>
      <c r="B413" t="str">
        <v>Chromium,(Cr), Blood</v>
      </c>
      <c r="D413">
        <v>380</v>
      </c>
      <c r="F413">
        <v>0</v>
      </c>
      <c r="H413">
        <v>0</v>
      </c>
      <c r="J413">
        <v>0</v>
      </c>
      <c r="L413">
        <v>0</v>
      </c>
      <c r="N413">
        <v>0</v>
      </c>
      <c r="P413">
        <v>0</v>
      </c>
    </row>
    <row r="414">
      <c r="A414" t="str">
        <v>92100</v>
      </c>
      <c r="B414" t="str">
        <v>Screening for Drugs and Pesticide ( Gastric content )</v>
      </c>
      <c r="D414">
        <v>2300</v>
      </c>
      <c r="F414">
        <v>0</v>
      </c>
      <c r="H414">
        <v>0</v>
      </c>
      <c r="J414">
        <v>0</v>
      </c>
      <c r="L414">
        <v>0</v>
      </c>
      <c r="N414">
        <v>0</v>
      </c>
      <c r="P414">
        <v>0</v>
      </c>
    </row>
    <row r="415">
      <c r="A415" t="str">
        <v>92104</v>
      </c>
      <c r="B415" t="str">
        <v>Coxsackie B virus Ab</v>
      </c>
      <c r="D415">
        <v>650</v>
      </c>
      <c r="F415">
        <v>0</v>
      </c>
      <c r="H415">
        <v>0</v>
      </c>
      <c r="J415">
        <v>0</v>
      </c>
      <c r="L415">
        <v>0</v>
      </c>
      <c r="N415">
        <v>0</v>
      </c>
      <c r="P415">
        <v>0</v>
      </c>
    </row>
    <row r="416">
      <c r="A416" t="str">
        <v>92110</v>
      </c>
      <c r="B416" t="str">
        <v>Cysticercosis Ab,serum</v>
      </c>
      <c r="D416">
        <v>650</v>
      </c>
      <c r="F416">
        <v>0</v>
      </c>
      <c r="H416">
        <v>0</v>
      </c>
      <c r="J416">
        <v>0</v>
      </c>
      <c r="L416">
        <v>0</v>
      </c>
      <c r="N416">
        <v>0</v>
      </c>
      <c r="P416">
        <v>1</v>
      </c>
    </row>
    <row r="417">
      <c r="A417" t="str">
        <v>92131</v>
      </c>
      <c r="B417" t="str">
        <v>Factor XII</v>
      </c>
      <c r="D417">
        <v>1350</v>
      </c>
      <c r="F417">
        <v>3</v>
      </c>
      <c r="H417">
        <v>0</v>
      </c>
      <c r="J417">
        <v>0</v>
      </c>
      <c r="L417">
        <v>1</v>
      </c>
      <c r="N417">
        <v>3</v>
      </c>
      <c r="P417">
        <v>2</v>
      </c>
    </row>
    <row r="418">
      <c r="A418" t="str">
        <v>92141</v>
      </c>
      <c r="B418" t="str">
        <v>Fructosamine</v>
      </c>
      <c r="D418">
        <v>180</v>
      </c>
      <c r="F418">
        <v>0</v>
      </c>
      <c r="H418">
        <v>0</v>
      </c>
      <c r="J418">
        <v>0</v>
      </c>
      <c r="L418">
        <v>0</v>
      </c>
      <c r="N418">
        <v>0</v>
      </c>
      <c r="P418">
        <v>0</v>
      </c>
    </row>
    <row r="419">
      <c r="A419" t="str">
        <v>92193</v>
      </c>
      <c r="B419" t="str">
        <v>Legionella pneumophila sero.1-14 Ab,Ig G</v>
      </c>
      <c r="D419">
        <v>1400</v>
      </c>
      <c r="F419">
        <v>0</v>
      </c>
      <c r="H419">
        <v>0</v>
      </c>
      <c r="J419">
        <v>0</v>
      </c>
      <c r="L419">
        <v>0</v>
      </c>
      <c r="N419">
        <v>0</v>
      </c>
      <c r="P419">
        <v>0</v>
      </c>
    </row>
    <row r="420">
      <c r="A420" t="str">
        <v>92194</v>
      </c>
      <c r="B420" t="str">
        <v>Legionella pneumophila sero.1-14 Ab,Ig M</v>
      </c>
      <c r="D420">
        <v>1650</v>
      </c>
      <c r="F420">
        <v>0</v>
      </c>
      <c r="H420">
        <v>0</v>
      </c>
      <c r="J420">
        <v>0</v>
      </c>
      <c r="L420">
        <v>0</v>
      </c>
      <c r="N420">
        <v>0</v>
      </c>
      <c r="P420">
        <v>0</v>
      </c>
    </row>
    <row r="421">
      <c r="A421" t="str">
        <v>92200</v>
      </c>
      <c r="B421" t="str">
        <v>Manganese(Mn), Blood</v>
      </c>
      <c r="D421">
        <v>220</v>
      </c>
      <c r="F421">
        <v>0</v>
      </c>
      <c r="H421">
        <v>0</v>
      </c>
      <c r="J421">
        <v>0</v>
      </c>
      <c r="L421">
        <v>0</v>
      </c>
      <c r="N421">
        <v>0</v>
      </c>
      <c r="P421">
        <v>0</v>
      </c>
    </row>
    <row r="422">
      <c r="A422" t="str">
        <v>92201</v>
      </c>
      <c r="B422" t="str">
        <v>Manganese(Mn),Urine</v>
      </c>
      <c r="D422">
        <v>220</v>
      </c>
      <c r="F422">
        <v>0</v>
      </c>
      <c r="H422">
        <v>0</v>
      </c>
      <c r="J422">
        <v>0</v>
      </c>
      <c r="L422">
        <v>0</v>
      </c>
      <c r="N422">
        <v>0</v>
      </c>
      <c r="P422">
        <v>0</v>
      </c>
    </row>
    <row r="423">
      <c r="A423" t="str">
        <v>92207</v>
      </c>
      <c r="B423" t="str">
        <v>Mercury (Hg), Blood</v>
      </c>
      <c r="D423">
        <v>380</v>
      </c>
      <c r="F423">
        <v>0</v>
      </c>
      <c r="H423">
        <v>0</v>
      </c>
      <c r="J423">
        <v>0</v>
      </c>
      <c r="L423">
        <v>0</v>
      </c>
      <c r="N423">
        <v>0</v>
      </c>
      <c r="P423">
        <v>1</v>
      </c>
    </row>
    <row r="424">
      <c r="A424" t="str">
        <v>92214</v>
      </c>
      <c r="B424" t="str">
        <v>Microsporidium</v>
      </c>
      <c r="C424" t="str">
        <v>N health ไม่มีให้บริการค่ะ</v>
      </c>
      <c r="D424" t="str">
        <v>-</v>
      </c>
      <c r="F424">
        <v>0</v>
      </c>
      <c r="H424">
        <v>0</v>
      </c>
      <c r="J424">
        <v>0</v>
      </c>
      <c r="L424">
        <v>0</v>
      </c>
      <c r="N424">
        <v>0</v>
      </c>
      <c r="P424">
        <v>0</v>
      </c>
    </row>
    <row r="425">
      <c r="A425" t="str">
        <v>92227</v>
      </c>
      <c r="B425" t="str">
        <v>Osteocalcin</v>
      </c>
      <c r="D425">
        <v>800</v>
      </c>
      <c r="F425">
        <v>1</v>
      </c>
      <c r="H425">
        <v>0</v>
      </c>
      <c r="J425">
        <v>0</v>
      </c>
      <c r="L425">
        <v>0</v>
      </c>
      <c r="N425">
        <v>0</v>
      </c>
      <c r="P425">
        <v>0</v>
      </c>
    </row>
    <row r="426">
      <c r="A426" t="str">
        <v>92240</v>
      </c>
      <c r="B426" t="str">
        <v>VZV-DNA, PCR (Qualitative)</v>
      </c>
      <c r="D426">
        <v>1500</v>
      </c>
      <c r="F426">
        <v>0</v>
      </c>
      <c r="H426">
        <v>0</v>
      </c>
      <c r="J426">
        <v>0</v>
      </c>
      <c r="L426">
        <v>0</v>
      </c>
      <c r="N426">
        <v>0</v>
      </c>
      <c r="P426">
        <v>0</v>
      </c>
    </row>
    <row r="427">
      <c r="A427" t="str">
        <v>92274</v>
      </c>
      <c r="B427" t="str">
        <v>Triple screening (AFP, uE3, Free B-HCG)</v>
      </c>
      <c r="D427">
        <v>1200</v>
      </c>
      <c r="F427">
        <v>0</v>
      </c>
      <c r="H427">
        <v>0</v>
      </c>
      <c r="J427">
        <v>0</v>
      </c>
      <c r="L427">
        <v>0</v>
      </c>
      <c r="N427">
        <v>0</v>
      </c>
      <c r="P427">
        <v>0</v>
      </c>
    </row>
    <row r="428">
      <c r="A428" t="str">
        <v>92287</v>
      </c>
      <c r="B428" t="str">
        <v>Zinc(Zn), Urine</v>
      </c>
      <c r="D428">
        <v>220</v>
      </c>
      <c r="F428">
        <v>0</v>
      </c>
      <c r="H428">
        <v>0</v>
      </c>
      <c r="J428">
        <v>0</v>
      </c>
      <c r="L428">
        <v>0</v>
      </c>
      <c r="N428">
        <v>0</v>
      </c>
      <c r="P428">
        <v>0</v>
      </c>
    </row>
    <row r="429">
      <c r="A429" t="str">
        <v>92290</v>
      </c>
      <c r="B429" t="str">
        <v>Helicobactor pylori Ab. - IgG (Qualitative)</v>
      </c>
      <c r="D429">
        <v>500</v>
      </c>
      <c r="F429">
        <v>0</v>
      </c>
      <c r="H429">
        <v>0</v>
      </c>
      <c r="J429">
        <v>0</v>
      </c>
      <c r="L429">
        <v>0</v>
      </c>
      <c r="N429">
        <v>0</v>
      </c>
      <c r="P429">
        <v>0</v>
      </c>
    </row>
    <row r="430">
      <c r="A430" t="str">
        <v>92291</v>
      </c>
      <c r="B430" t="str">
        <v>Helicobactor pylori Ab. - IgM ( Qualitative )</v>
      </c>
      <c r="D430">
        <v>500</v>
      </c>
      <c r="F430">
        <v>0</v>
      </c>
      <c r="H430">
        <v>0</v>
      </c>
      <c r="J430">
        <v>0</v>
      </c>
      <c r="L430">
        <v>0</v>
      </c>
      <c r="N430">
        <v>0</v>
      </c>
      <c r="P430">
        <v>0</v>
      </c>
    </row>
    <row r="431">
      <c r="A431" t="str">
        <v>92319</v>
      </c>
      <c r="B431" t="str">
        <v>Rubella Ab - IgG (CSF)</v>
      </c>
      <c r="D431">
        <v>200</v>
      </c>
      <c r="F431">
        <v>0</v>
      </c>
      <c r="H431">
        <v>0</v>
      </c>
      <c r="J431">
        <v>0</v>
      </c>
      <c r="L431">
        <v>0</v>
      </c>
      <c r="N431">
        <v>0</v>
      </c>
      <c r="P431">
        <v>0</v>
      </c>
    </row>
    <row r="432">
      <c r="A432" t="str">
        <v>92322</v>
      </c>
      <c r="B432" t="str">
        <v>Anti Histones - IgG</v>
      </c>
      <c r="C432" t="str">
        <v>N health ไม่มีให้บริการค่ะ</v>
      </c>
      <c r="D432" t="str">
        <v>-</v>
      </c>
      <c r="F432">
        <v>0</v>
      </c>
      <c r="H432">
        <v>0</v>
      </c>
      <c r="J432">
        <v>0</v>
      </c>
      <c r="L432">
        <v>0</v>
      </c>
      <c r="N432">
        <v>0</v>
      </c>
      <c r="P432">
        <v>0</v>
      </c>
    </row>
    <row r="433">
      <c r="A433" t="str">
        <v>92336</v>
      </c>
      <c r="B433" t="str">
        <v>HIV-1 Ag (P24)</v>
      </c>
      <c r="C433" t="str">
        <v>N health ไม่มีให้บริการค่ะ</v>
      </c>
      <c r="D433" t="str">
        <v>-</v>
      </c>
      <c r="F433">
        <v>0</v>
      </c>
      <c r="H433">
        <v>0</v>
      </c>
      <c r="J433">
        <v>0</v>
      </c>
      <c r="L433">
        <v>0</v>
      </c>
      <c r="N433">
        <v>0</v>
      </c>
      <c r="P433">
        <v>0</v>
      </c>
    </row>
    <row r="434">
      <c r="A434" t="str">
        <v>92337</v>
      </c>
      <c r="B434" t="str">
        <v>Hippuric acid ( as Toluene, Thinner metabolite), urine</v>
      </c>
      <c r="D434">
        <v>200</v>
      </c>
      <c r="F434">
        <v>0</v>
      </c>
      <c r="H434">
        <v>0</v>
      </c>
      <c r="J434">
        <v>0</v>
      </c>
      <c r="L434">
        <v>0</v>
      </c>
      <c r="N434">
        <v>0</v>
      </c>
      <c r="P434">
        <v>0</v>
      </c>
    </row>
    <row r="435">
      <c r="A435" t="str">
        <v>92348</v>
      </c>
      <c r="B435" t="str">
        <v>VZV Ab ; (Herpes zoster) IgG (CSF)</v>
      </c>
      <c r="D435">
        <v>1350</v>
      </c>
      <c r="F435">
        <v>0</v>
      </c>
      <c r="H435">
        <v>0</v>
      </c>
      <c r="J435">
        <v>0</v>
      </c>
      <c r="L435">
        <v>0</v>
      </c>
      <c r="N435">
        <v>0</v>
      </c>
      <c r="P435">
        <v>0</v>
      </c>
    </row>
    <row r="436">
      <c r="A436" t="str">
        <v>92349</v>
      </c>
      <c r="B436" t="str">
        <v>VZV Ab ; (Herpes zoster) IgM (CSF)</v>
      </c>
      <c r="D436">
        <v>1350</v>
      </c>
      <c r="F436">
        <v>0</v>
      </c>
      <c r="H436">
        <v>0</v>
      </c>
      <c r="J436">
        <v>0</v>
      </c>
      <c r="L436">
        <v>0</v>
      </c>
      <c r="N436">
        <v>0</v>
      </c>
      <c r="P436">
        <v>0</v>
      </c>
    </row>
    <row r="437">
      <c r="A437" t="str">
        <v>93003</v>
      </c>
      <c r="B437" t="str">
        <v>FISH for leukemia - PML/RARa t(15;17)[BPL]</v>
      </c>
      <c r="D437">
        <v>3000</v>
      </c>
      <c r="F437">
        <v>0</v>
      </c>
      <c r="H437">
        <v>1</v>
      </c>
      <c r="J437">
        <v>0</v>
      </c>
      <c r="L437">
        <v>1</v>
      </c>
      <c r="N437">
        <v>0</v>
      </c>
      <c r="P437">
        <v>0</v>
      </c>
    </row>
    <row r="438">
      <c r="A438" t="str">
        <v>93007</v>
      </c>
      <c r="B438" t="str">
        <v>FISH for leukemia - Trisomy 21/BPL</v>
      </c>
      <c r="D438">
        <v>4000</v>
      </c>
      <c r="F438">
        <v>0</v>
      </c>
      <c r="H438">
        <v>0</v>
      </c>
      <c r="J438">
        <v>0</v>
      </c>
      <c r="L438">
        <v>0</v>
      </c>
      <c r="N438">
        <v>0</v>
      </c>
      <c r="P438">
        <v>0</v>
      </c>
    </row>
    <row r="439">
      <c r="A439" t="str">
        <v>94003</v>
      </c>
      <c r="B439" t="str">
        <v>Fungus culture (Blood)[ศิริราช][BPL]</v>
      </c>
      <c r="D439">
        <v>300</v>
      </c>
      <c r="F439">
        <v>0</v>
      </c>
      <c r="H439">
        <v>0</v>
      </c>
      <c r="J439">
        <v>0</v>
      </c>
      <c r="L439">
        <v>0</v>
      </c>
      <c r="N439">
        <v>0</v>
      </c>
      <c r="P439">
        <v>0</v>
      </c>
    </row>
    <row r="440">
      <c r="A440" t="str">
        <v>95037</v>
      </c>
      <c r="B440" t="str">
        <v>Urine organic acid</v>
      </c>
      <c r="D440">
        <v>3650</v>
      </c>
      <c r="F440">
        <v>0</v>
      </c>
      <c r="H440">
        <v>0</v>
      </c>
      <c r="J440">
        <v>1</v>
      </c>
      <c r="L440">
        <v>0</v>
      </c>
      <c r="N440">
        <v>0</v>
      </c>
      <c r="P440">
        <v>0</v>
      </c>
    </row>
    <row r="441">
      <c r="A441" t="str">
        <v>95041</v>
      </c>
      <c r="B441" t="str">
        <v>Anti-Jo-1</v>
      </c>
      <c r="D441">
        <v>570</v>
      </c>
      <c r="F441">
        <v>0</v>
      </c>
      <c r="H441">
        <v>0</v>
      </c>
      <c r="J441">
        <v>0</v>
      </c>
      <c r="L441">
        <v>0</v>
      </c>
      <c r="N441">
        <v>0</v>
      </c>
      <c r="P441">
        <v>0</v>
      </c>
    </row>
    <row r="442">
      <c r="A442" t="str">
        <v>95047</v>
      </c>
      <c r="B442" t="str">
        <v>Duchenne/Becker-Linkage</v>
      </c>
      <c r="C442" t="str">
        <v>N health ไม่มีให้บริการค่ะ</v>
      </c>
      <c r="D442" t="str">
        <v>-</v>
      </c>
      <c r="F442">
        <v>0</v>
      </c>
      <c r="H442">
        <v>0</v>
      </c>
      <c r="J442">
        <v>0</v>
      </c>
      <c r="L442">
        <v>0</v>
      </c>
      <c r="N442">
        <v>0</v>
      </c>
      <c r="P442">
        <v>0</v>
      </c>
    </row>
    <row r="443">
      <c r="A443" t="str">
        <v>95050</v>
      </c>
      <c r="B443" t="str">
        <v>Huntington (HD)_Expansion</v>
      </c>
      <c r="D443">
        <v>3500</v>
      </c>
      <c r="F443">
        <v>0</v>
      </c>
      <c r="H443">
        <v>0</v>
      </c>
      <c r="J443">
        <v>0</v>
      </c>
      <c r="L443">
        <v>0</v>
      </c>
      <c r="N443">
        <v>0</v>
      </c>
      <c r="P443">
        <v>0</v>
      </c>
    </row>
    <row r="444">
      <c r="A444" t="str">
        <v>95076</v>
      </c>
      <c r="B444" t="str">
        <v>Acid phosphatase, Total</v>
      </c>
      <c r="D444">
        <v>350</v>
      </c>
      <c r="F444">
        <v>0</v>
      </c>
      <c r="H444">
        <v>0</v>
      </c>
      <c r="J444">
        <v>0</v>
      </c>
      <c r="L444">
        <v>0</v>
      </c>
      <c r="N444">
        <v>0</v>
      </c>
      <c r="P444">
        <v>0</v>
      </c>
    </row>
    <row r="445">
      <c r="A445" t="str">
        <v>95077</v>
      </c>
      <c r="B445" t="str">
        <v>JEV-RNA,PCR (Qualitative)</v>
      </c>
      <c r="D445">
        <v>2650</v>
      </c>
      <c r="F445">
        <v>0</v>
      </c>
      <c r="H445">
        <v>0</v>
      </c>
      <c r="J445">
        <v>0</v>
      </c>
      <c r="L445">
        <v>1</v>
      </c>
      <c r="N445">
        <v>0</v>
      </c>
      <c r="P445">
        <v>0</v>
      </c>
    </row>
    <row r="446">
      <c r="A446" t="str">
        <v>95078</v>
      </c>
      <c r="B446" t="str">
        <v>Quad Markers (AFP,uE3,Free B-hCG,Inhibin-A)</v>
      </c>
      <c r="D446">
        <v>1900</v>
      </c>
      <c r="F446">
        <v>0</v>
      </c>
      <c r="H446">
        <v>0</v>
      </c>
      <c r="J446">
        <v>0</v>
      </c>
      <c r="L446">
        <v>0</v>
      </c>
      <c r="N446">
        <v>0</v>
      </c>
      <c r="P446">
        <v>0</v>
      </c>
    </row>
    <row r="447">
      <c r="A447" t="str">
        <v>95081</v>
      </c>
      <c r="B447" t="str">
        <v>Enterovirus Antibody</v>
      </c>
      <c r="D447">
        <v>700</v>
      </c>
      <c r="F447">
        <v>0</v>
      </c>
      <c r="H447">
        <v>0</v>
      </c>
      <c r="J447">
        <v>0</v>
      </c>
      <c r="L447">
        <v>0</v>
      </c>
      <c r="N447">
        <v>0</v>
      </c>
      <c r="P447">
        <v>0</v>
      </c>
    </row>
    <row r="448">
      <c r="A448" t="str">
        <v>97011</v>
      </c>
      <c r="B448" t="str">
        <v>Alpha 1-Antitrypsin (AAT,A1AT)</v>
      </c>
      <c r="D448">
        <v>650</v>
      </c>
      <c r="F448">
        <v>0</v>
      </c>
      <c r="H448">
        <v>0</v>
      </c>
      <c r="J448">
        <v>0</v>
      </c>
      <c r="L448">
        <v>0</v>
      </c>
      <c r="N448">
        <v>0</v>
      </c>
      <c r="P448">
        <v>0</v>
      </c>
    </row>
    <row r="449">
      <c r="A449" t="str">
        <v>97018</v>
      </c>
      <c r="B449" t="str">
        <v>MIC for Fungus (ทดสอบยาเป็นกลุ่ม)</v>
      </c>
      <c r="D449">
        <v>1200</v>
      </c>
      <c r="F449">
        <v>0</v>
      </c>
      <c r="H449">
        <v>0</v>
      </c>
      <c r="J449">
        <v>0</v>
      </c>
      <c r="L449">
        <v>0</v>
      </c>
      <c r="N449">
        <v>0</v>
      </c>
      <c r="P449">
        <v>0</v>
      </c>
    </row>
    <row r="450">
      <c r="A450" t="str">
        <v>97034</v>
      </c>
      <c r="B450" t="str">
        <v>Hepatitis D Virus Ab</v>
      </c>
      <c r="D450">
        <v>300</v>
      </c>
      <c r="F450">
        <v>0</v>
      </c>
      <c r="H450">
        <v>0</v>
      </c>
      <c r="J450">
        <v>0</v>
      </c>
      <c r="L450">
        <v>0</v>
      </c>
      <c r="N450">
        <v>0</v>
      </c>
      <c r="P450">
        <v>0</v>
      </c>
    </row>
    <row r="451">
      <c r="A451" t="str">
        <v>97067</v>
      </c>
      <c r="B451" t="str">
        <v>Myoglobin,Blood</v>
      </c>
      <c r="D451">
        <v>730</v>
      </c>
      <c r="F451">
        <v>0</v>
      </c>
      <c r="H451">
        <v>0</v>
      </c>
      <c r="J451">
        <v>0</v>
      </c>
      <c r="L451">
        <v>0</v>
      </c>
      <c r="N451">
        <v>0</v>
      </c>
      <c r="P451">
        <v>0</v>
      </c>
    </row>
    <row r="452">
      <c r="A452" t="str">
        <v>97074</v>
      </c>
      <c r="B452" t="str">
        <v>Free light chain ; Kappa (urine)</v>
      </c>
      <c r="D452">
        <v>2000</v>
      </c>
      <c r="F452">
        <v>0</v>
      </c>
      <c r="H452">
        <v>0</v>
      </c>
      <c r="J452">
        <v>0</v>
      </c>
      <c r="L452">
        <v>0</v>
      </c>
      <c r="N452">
        <v>0</v>
      </c>
      <c r="P452">
        <v>0</v>
      </c>
    </row>
    <row r="453">
      <c r="A453" t="str">
        <v>97075</v>
      </c>
      <c r="B453" t="str">
        <v>Free light chain ; Lambda (Urine)</v>
      </c>
      <c r="D453">
        <v>2000</v>
      </c>
      <c r="F453">
        <v>0</v>
      </c>
      <c r="H453">
        <v>0</v>
      </c>
      <c r="J453">
        <v>0</v>
      </c>
      <c r="L453">
        <v>0</v>
      </c>
      <c r="N453">
        <v>0</v>
      </c>
      <c r="P453">
        <v>0</v>
      </c>
    </row>
    <row r="454">
      <c r="A454" t="str">
        <v>97084</v>
      </c>
      <c r="B454" t="str">
        <v>Double markers(PAPP-A, Free B-hCG)</v>
      </c>
      <c r="C454" t="str">
        <v>N health ไม่มีให้บริการค่ะ</v>
      </c>
      <c r="D454" t="str">
        <v>-</v>
      </c>
      <c r="F454">
        <v>0</v>
      </c>
      <c r="H454">
        <v>0</v>
      </c>
      <c r="J454">
        <v>0</v>
      </c>
      <c r="L454">
        <v>0</v>
      </c>
      <c r="N454">
        <v>0</v>
      </c>
      <c r="P454">
        <v>0</v>
      </c>
    </row>
    <row r="455">
      <c r="A455" t="str">
        <v>97095</v>
      </c>
      <c r="B455" t="str">
        <v>HIT Ab screening (Anti-Heparin induced thrombocypenia)[BPL]</v>
      </c>
      <c r="D455">
        <v>4000</v>
      </c>
      <c r="F455">
        <v>0</v>
      </c>
      <c r="H455">
        <v>0</v>
      </c>
      <c r="J455">
        <v>0</v>
      </c>
      <c r="L455">
        <v>0</v>
      </c>
      <c r="N455">
        <v>0</v>
      </c>
      <c r="P455">
        <v>0</v>
      </c>
    </row>
    <row r="456">
      <c r="A456" t="str">
        <v>97097</v>
      </c>
      <c r="B456" t="str">
        <v>MELAS, MERRF, NARP [ศิริราช][BPL]</v>
      </c>
      <c r="D456">
        <v>3000</v>
      </c>
      <c r="F456">
        <v>0</v>
      </c>
      <c r="H456">
        <v>0</v>
      </c>
      <c r="J456">
        <v>0</v>
      </c>
      <c r="L456">
        <v>0</v>
      </c>
      <c r="N456">
        <v>0</v>
      </c>
      <c r="P456">
        <v>0</v>
      </c>
    </row>
    <row r="457">
      <c r="A457" t="str">
        <v>97099</v>
      </c>
      <c r="B457" t="str">
        <v>Chlamydia/ Neisseria, PCR(Qualitative)</v>
      </c>
      <c r="D457">
        <v>3600</v>
      </c>
      <c r="F457">
        <v>0</v>
      </c>
      <c r="H457">
        <v>0</v>
      </c>
      <c r="J457">
        <v>0</v>
      </c>
      <c r="L457">
        <v>0</v>
      </c>
      <c r="N457">
        <v>0</v>
      </c>
      <c r="P457">
        <v>0</v>
      </c>
    </row>
    <row r="458">
      <c r="A458" t="str">
        <v>97104</v>
      </c>
      <c r="B458" t="str">
        <v>Influenza-A&amp;B PCR ส่งจุฬาฯ [BPL]</v>
      </c>
      <c r="D458">
        <v>1600</v>
      </c>
      <c r="F458">
        <v>0</v>
      </c>
      <c r="H458">
        <v>0</v>
      </c>
      <c r="J458">
        <v>0</v>
      </c>
      <c r="L458">
        <v>0</v>
      </c>
      <c r="N458">
        <v>0</v>
      </c>
      <c r="P458">
        <v>0</v>
      </c>
    </row>
    <row r="459">
      <c r="A459" t="str">
        <v>97107</v>
      </c>
      <c r="B459" t="str">
        <v>ELI Spot (ทดสอบการแพ้ยาชนิดที่ 1)[จุฬา]ระบุตัวยา................................</v>
      </c>
      <c r="C459" t="str">
        <v>N health ไม่มีให้บริการค่ะ</v>
      </c>
      <c r="D459" t="str">
        <v>-</v>
      </c>
      <c r="F459">
        <v>0</v>
      </c>
      <c r="H459">
        <v>0</v>
      </c>
      <c r="J459">
        <v>0</v>
      </c>
      <c r="L459">
        <v>0</v>
      </c>
      <c r="N459">
        <v>0</v>
      </c>
      <c r="P459">
        <v>0</v>
      </c>
    </row>
    <row r="460">
      <c r="A460" t="str">
        <v>97108</v>
      </c>
      <c r="B460" t="str">
        <v>ELI Spot (ทดสอบการแพ้ยาชนิดที่ 2)[จุฬา]ระบุตัวยา................................</v>
      </c>
      <c r="C460" t="str">
        <v>N health ไม่มีให้บริการค่ะ</v>
      </c>
      <c r="D460" t="str">
        <v>-</v>
      </c>
      <c r="F460">
        <v>0</v>
      </c>
      <c r="H460">
        <v>0</v>
      </c>
      <c r="J460">
        <v>0</v>
      </c>
      <c r="L460">
        <v>0</v>
      </c>
      <c r="N460">
        <v>0</v>
      </c>
      <c r="P460">
        <v>0</v>
      </c>
    </row>
    <row r="461">
      <c r="A461" t="str">
        <v>97109</v>
      </c>
      <c r="B461" t="str">
        <v>ELI Spot (ทดสอบการแพ้ยาชนิดที่ 3)[จุฬา]ระบุตัวยา................................</v>
      </c>
      <c r="C461" t="str">
        <v>N health ไม่มีให้บริการค่ะ</v>
      </c>
      <c r="D461" t="str">
        <v>-</v>
      </c>
      <c r="F461">
        <v>0</v>
      </c>
      <c r="H461">
        <v>0</v>
      </c>
      <c r="J461">
        <v>0</v>
      </c>
      <c r="L461">
        <v>0</v>
      </c>
      <c r="N461">
        <v>0</v>
      </c>
      <c r="P461">
        <v>0</v>
      </c>
    </row>
    <row r="462">
      <c r="A462" t="str">
        <v>97117</v>
      </c>
      <c r="B462" t="str">
        <v>Adenovirus PCR (Qualitative)[BPL][RAMA]</v>
      </c>
      <c r="D462">
        <v>2350</v>
      </c>
      <c r="F462">
        <v>0</v>
      </c>
      <c r="H462">
        <v>0</v>
      </c>
      <c r="J462">
        <v>0</v>
      </c>
      <c r="L462">
        <v>0</v>
      </c>
      <c r="N462">
        <v>0</v>
      </c>
      <c r="P462">
        <v>0</v>
      </c>
    </row>
    <row r="463">
      <c r="A463" t="str">
        <v>97120</v>
      </c>
      <c r="B463" t="str">
        <v>Clostridium tetani Ab, IgG (Tetanus Ab)[BPL][RAMA]</v>
      </c>
      <c r="D463">
        <v>550</v>
      </c>
      <c r="F463">
        <v>0</v>
      </c>
      <c r="H463">
        <v>0</v>
      </c>
      <c r="J463">
        <v>0</v>
      </c>
      <c r="L463">
        <v>0</v>
      </c>
      <c r="N463">
        <v>0</v>
      </c>
      <c r="P463">
        <v>0</v>
      </c>
    </row>
    <row r="464">
      <c r="A464" t="str">
        <v>97123</v>
      </c>
      <c r="B464" t="str">
        <v>Microfilaria Ab.</v>
      </c>
      <c r="D464">
        <v>730</v>
      </c>
      <c r="F464">
        <v>0</v>
      </c>
      <c r="H464">
        <v>0</v>
      </c>
      <c r="J464">
        <v>0</v>
      </c>
      <c r="L464">
        <v>0</v>
      </c>
      <c r="N464">
        <v>0</v>
      </c>
      <c r="P464">
        <v>0</v>
      </c>
    </row>
    <row r="465">
      <c r="A465" t="str">
        <v>97140</v>
      </c>
      <c r="B465" t="str">
        <v>NTM (Rapid grower):AST^G &lt;MB&gt;</v>
      </c>
      <c r="D465">
        <v>2200</v>
      </c>
      <c r="F465">
        <v>0</v>
      </c>
      <c r="H465">
        <v>0</v>
      </c>
      <c r="J465">
        <v>0</v>
      </c>
      <c r="L465">
        <v>0</v>
      </c>
      <c r="N465">
        <v>0</v>
      </c>
      <c r="P465">
        <v>0</v>
      </c>
    </row>
    <row r="466">
      <c r="A466" t="str">
        <v>97142</v>
      </c>
      <c r="B466" t="str">
        <v>HSV Culture</v>
      </c>
      <c r="C466" t="str">
        <v>N health ไม่มีให้บริการค่ะ</v>
      </c>
      <c r="D466" t="str">
        <v>-</v>
      </c>
      <c r="F466">
        <v>0</v>
      </c>
      <c r="H466">
        <v>0</v>
      </c>
      <c r="J466">
        <v>0</v>
      </c>
      <c r="L466">
        <v>0</v>
      </c>
      <c r="N466">
        <v>0</v>
      </c>
      <c r="P466">
        <v>0</v>
      </c>
    </row>
    <row r="467">
      <c r="A467" t="str">
        <v>97145</v>
      </c>
      <c r="B467" t="str">
        <v>Neutrophil gelatinase associated lipocalin (NGAL)</v>
      </c>
      <c r="D467">
        <v>3000</v>
      </c>
      <c r="F467">
        <v>0</v>
      </c>
      <c r="H467">
        <v>0</v>
      </c>
      <c r="J467">
        <v>0</v>
      </c>
      <c r="L467">
        <v>0</v>
      </c>
      <c r="N467">
        <v>0</v>
      </c>
      <c r="P467">
        <v>0</v>
      </c>
    </row>
    <row r="468">
      <c r="A468" t="str">
        <v>97149</v>
      </c>
      <c r="B468" t="str">
        <v>Erythropoietin antibody (Anti-rHuEpo)</v>
      </c>
      <c r="D468">
        <v>4500</v>
      </c>
      <c r="F468">
        <v>0</v>
      </c>
      <c r="H468">
        <v>0</v>
      </c>
      <c r="J468">
        <v>0</v>
      </c>
      <c r="L468">
        <v>0</v>
      </c>
      <c r="N468">
        <v>0</v>
      </c>
      <c r="P468">
        <v>0</v>
      </c>
    </row>
    <row r="469">
      <c r="A469" t="str">
        <v>97152</v>
      </c>
      <c r="B469" t="str">
        <v>HLA-B*35:05 for Nevirapine only</v>
      </c>
      <c r="D469">
        <v>1800</v>
      </c>
      <c r="F469">
        <v>0</v>
      </c>
      <c r="H469">
        <v>0</v>
      </c>
      <c r="J469">
        <v>0</v>
      </c>
      <c r="L469">
        <v>0</v>
      </c>
      <c r="N469">
        <v>0</v>
      </c>
      <c r="P469">
        <v>0</v>
      </c>
    </row>
    <row r="470">
      <c r="A470" t="str">
        <v>97153</v>
      </c>
      <c r="B470" t="str">
        <v>HLA-B*35:05 (กลุ่มยา)</v>
      </c>
      <c r="D470">
        <v>3000</v>
      </c>
      <c r="F470">
        <v>0</v>
      </c>
      <c r="H470">
        <v>0</v>
      </c>
      <c r="J470">
        <v>0</v>
      </c>
      <c r="L470">
        <v>0</v>
      </c>
      <c r="N470">
        <v>0</v>
      </c>
      <c r="P470">
        <v>0</v>
      </c>
    </row>
    <row r="471">
      <c r="A471" t="str">
        <v>97168</v>
      </c>
      <c r="B471" t="str">
        <v>Inflammatory Bowel Profile</v>
      </c>
      <c r="D471">
        <v>84000</v>
      </c>
      <c r="F471">
        <v>0</v>
      </c>
      <c r="H471">
        <v>0</v>
      </c>
      <c r="J471">
        <v>0</v>
      </c>
      <c r="L471">
        <v>0</v>
      </c>
      <c r="N471">
        <v>0</v>
      </c>
      <c r="P471">
        <v>0</v>
      </c>
    </row>
    <row r="472">
      <c r="A472" t="str">
        <v>97170</v>
      </c>
      <c r="B472" t="str">
        <v>Hand Foot and Mouth disease</v>
      </c>
      <c r="D472">
        <v>3120</v>
      </c>
      <c r="F472">
        <v>0</v>
      </c>
      <c r="H472">
        <v>0</v>
      </c>
      <c r="J472">
        <v>0</v>
      </c>
      <c r="L472">
        <v>0</v>
      </c>
      <c r="N472">
        <v>0</v>
      </c>
      <c r="P472">
        <v>0</v>
      </c>
    </row>
    <row r="473">
      <c r="A473" t="str">
        <v>97177</v>
      </c>
      <c r="B473" t="str">
        <v>Topiramate (topamax)</v>
      </c>
      <c r="D473">
        <v>3000</v>
      </c>
      <c r="F473">
        <v>0</v>
      </c>
      <c r="H473">
        <v>0</v>
      </c>
      <c r="J473">
        <v>0</v>
      </c>
      <c r="L473">
        <v>0</v>
      </c>
      <c r="N473">
        <v>0</v>
      </c>
      <c r="P473">
        <v>0</v>
      </c>
    </row>
    <row r="474">
      <c r="A474" t="str">
        <v>97188</v>
      </c>
      <c r="B474" t="str">
        <v>Drug Quantitative (ระบุชื่อ.........................(1 ชนิด)</v>
      </c>
      <c r="D474">
        <v>3400</v>
      </c>
      <c r="F474">
        <v>0</v>
      </c>
      <c r="H474">
        <v>0</v>
      </c>
      <c r="J474">
        <v>0</v>
      </c>
      <c r="L474">
        <v>0</v>
      </c>
      <c r="N474">
        <v>0</v>
      </c>
      <c r="P474">
        <v>0</v>
      </c>
    </row>
    <row r="475">
      <c r="A475" t="str">
        <v>97193</v>
      </c>
      <c r="B475" t="str">
        <v>formic acid (methanol metabolite)</v>
      </c>
      <c r="D475">
        <v>500</v>
      </c>
      <c r="F475">
        <v>0</v>
      </c>
      <c r="H475">
        <v>0</v>
      </c>
      <c r="J475">
        <v>0</v>
      </c>
      <c r="L475">
        <v>0</v>
      </c>
      <c r="N475">
        <v>0</v>
      </c>
      <c r="P475">
        <v>0</v>
      </c>
    </row>
    <row r="476">
      <c r="A476" t="str">
        <v>97195</v>
      </c>
      <c r="B476" t="str">
        <v>CA 19-9-peritoneal fluid</v>
      </c>
      <c r="D476">
        <v>870</v>
      </c>
      <c r="F476">
        <v>0</v>
      </c>
      <c r="H476">
        <v>0</v>
      </c>
      <c r="J476">
        <v>0</v>
      </c>
      <c r="L476">
        <v>0</v>
      </c>
      <c r="N476">
        <v>0</v>
      </c>
      <c r="P476">
        <v>0</v>
      </c>
    </row>
    <row r="477">
      <c r="A477" t="str">
        <v>97196</v>
      </c>
      <c r="B477" t="str">
        <v>CEA-peritoneal fluid</v>
      </c>
      <c r="D477">
        <v>550</v>
      </c>
      <c r="F477">
        <v>0</v>
      </c>
      <c r="H477">
        <v>0</v>
      </c>
      <c r="J477">
        <v>0</v>
      </c>
      <c r="L477">
        <v>0</v>
      </c>
      <c r="N477">
        <v>0</v>
      </c>
      <c r="P477">
        <v>0</v>
      </c>
    </row>
    <row r="478">
      <c r="A478" t="str">
        <v>97197</v>
      </c>
      <c r="B478" t="str">
        <v>CA 125- peritoneal fluid</v>
      </c>
      <c r="C478" t="str">
        <v>N health ไม่มีให้บริการค่ะ</v>
      </c>
      <c r="D478" t="str">
        <v>-</v>
      </c>
      <c r="F478">
        <v>0</v>
      </c>
      <c r="H478">
        <v>0</v>
      </c>
      <c r="J478">
        <v>0</v>
      </c>
      <c r="L478">
        <v>0</v>
      </c>
      <c r="N478">
        <v>0</v>
      </c>
      <c r="P478">
        <v>0</v>
      </c>
    </row>
    <row r="479">
      <c r="A479" t="str">
        <v>97198</v>
      </c>
      <c r="B479" t="str">
        <v>CA 15-3 Fluid</v>
      </c>
      <c r="C479" t="str">
        <v>N health ไม่มีให้บริการค่ะ</v>
      </c>
      <c r="D479" t="str">
        <v>-</v>
      </c>
      <c r="F479">
        <v>0</v>
      </c>
      <c r="H479">
        <v>0</v>
      </c>
      <c r="J479">
        <v>0</v>
      </c>
      <c r="L479">
        <v>0</v>
      </c>
      <c r="N479">
        <v>0</v>
      </c>
      <c r="P479">
        <v>0</v>
      </c>
    </row>
    <row r="480">
      <c r="A480" t="str">
        <v>97202</v>
      </c>
      <c r="B480" t="str">
        <v>Chikungunya ; RT-PCR (กรณีไม่เข้าเกณฑ์)</v>
      </c>
      <c r="D480">
        <v>800</v>
      </c>
      <c r="F480">
        <v>0</v>
      </c>
      <c r="H480">
        <v>0</v>
      </c>
      <c r="J480">
        <v>0</v>
      </c>
      <c r="L480">
        <v>0</v>
      </c>
      <c r="N480">
        <v>0</v>
      </c>
      <c r="P480">
        <v>0</v>
      </c>
    </row>
    <row r="481">
      <c r="A481" t="str">
        <v>97203</v>
      </c>
      <c r="B481" t="str">
        <v>Urine Methamphetamine confirmation test</v>
      </c>
      <c r="D481">
        <v>2350</v>
      </c>
      <c r="F481">
        <v>0</v>
      </c>
      <c r="H481">
        <v>0</v>
      </c>
      <c r="J481">
        <v>0</v>
      </c>
      <c r="L481">
        <v>0</v>
      </c>
      <c r="N481">
        <v>0</v>
      </c>
      <c r="P481">
        <v>0</v>
      </c>
    </row>
    <row r="482">
      <c r="A482" t="str">
        <v>97211</v>
      </c>
      <c r="B482" t="str">
        <v>Anti diuretic hormone (vasopressin)</v>
      </c>
      <c r="C482" t="str">
        <v>N health ไม่มีให้บริการค่ะ</v>
      </c>
      <c r="D482" t="str">
        <v>-</v>
      </c>
      <c r="F482">
        <v>0</v>
      </c>
      <c r="H482">
        <v>0</v>
      </c>
      <c r="J482">
        <v>0</v>
      </c>
      <c r="L482">
        <v>0</v>
      </c>
      <c r="N482">
        <v>0</v>
      </c>
      <c r="P482">
        <v>0</v>
      </c>
    </row>
    <row r="483">
      <c r="A483" t="str">
        <v>97212</v>
      </c>
      <c r="B483" t="str">
        <v>Antidepressents (Gastric content)</v>
      </c>
      <c r="D483">
        <v>1000</v>
      </c>
      <c r="F483">
        <v>0</v>
      </c>
      <c r="H483">
        <v>0</v>
      </c>
      <c r="J483">
        <v>0</v>
      </c>
      <c r="L483">
        <v>0</v>
      </c>
      <c r="N483">
        <v>0</v>
      </c>
      <c r="P483">
        <v>0</v>
      </c>
    </row>
    <row r="484">
      <c r="A484" t="str">
        <v>97216</v>
      </c>
      <c r="B484" t="str">
        <v>Methanol (Methyl alcohol), Urine</v>
      </c>
      <c r="D484">
        <v>270</v>
      </c>
      <c r="F484">
        <v>0</v>
      </c>
      <c r="H484">
        <v>0</v>
      </c>
      <c r="J484">
        <v>0</v>
      </c>
      <c r="L484">
        <v>0</v>
      </c>
      <c r="N484">
        <v>0</v>
      </c>
      <c r="P484">
        <v>0</v>
      </c>
    </row>
    <row r="485">
      <c r="A485" t="str">
        <v>97218</v>
      </c>
      <c r="B485" t="str">
        <v>Abnormal Hb</v>
      </c>
      <c r="D485">
        <v>2150</v>
      </c>
      <c r="F485">
        <v>0</v>
      </c>
      <c r="H485">
        <v>0</v>
      </c>
      <c r="J485">
        <v>0</v>
      </c>
      <c r="L485">
        <v>0</v>
      </c>
      <c r="N485">
        <v>0</v>
      </c>
      <c r="P485">
        <v>0</v>
      </c>
    </row>
    <row r="486">
      <c r="A486" t="str">
        <v>97222</v>
      </c>
      <c r="B486" t="str">
        <v>Benzene (trans,trans,-muconic acid (tt-MA))</v>
      </c>
      <c r="D486">
        <v>250</v>
      </c>
      <c r="F486">
        <v>0</v>
      </c>
      <c r="H486">
        <v>0</v>
      </c>
      <c r="J486">
        <v>0</v>
      </c>
      <c r="L486">
        <v>0</v>
      </c>
      <c r="N486">
        <v>0</v>
      </c>
      <c r="P486">
        <v>0</v>
      </c>
    </row>
    <row r="487">
      <c r="A487" t="str">
        <v>97226</v>
      </c>
      <c r="B487" t="str">
        <v>เพาะเชื้อทางเดินหายใจ (กรมวิทย์)</v>
      </c>
      <c r="C487" t="str">
        <v>N health ไม่มีให้บริการค่ะ</v>
      </c>
      <c r="D487" t="str">
        <v>-</v>
      </c>
      <c r="F487">
        <v>0</v>
      </c>
      <c r="H487">
        <v>0</v>
      </c>
      <c r="J487">
        <v>0</v>
      </c>
      <c r="L487">
        <v>0</v>
      </c>
      <c r="N487">
        <v>0</v>
      </c>
      <c r="P487">
        <v>0</v>
      </c>
    </row>
    <row r="488">
      <c r="A488" t="str">
        <v>97229</v>
      </c>
      <c r="B488" t="str">
        <v>Barium :blood</v>
      </c>
      <c r="D488" t="str">
        <v>-</v>
      </c>
      <c r="F488">
        <v>0</v>
      </c>
      <c r="H488">
        <v>0</v>
      </c>
      <c r="J488">
        <v>0</v>
      </c>
      <c r="L488">
        <v>0</v>
      </c>
      <c r="N488">
        <v>0</v>
      </c>
      <c r="P488">
        <v>0</v>
      </c>
    </row>
    <row r="489">
      <c r="A489" t="str">
        <v>97240</v>
      </c>
      <c r="B489" t="str">
        <v>Panenterovirus</v>
      </c>
      <c r="D489">
        <v>1000</v>
      </c>
      <c r="F489">
        <v>0</v>
      </c>
      <c r="H489">
        <v>0</v>
      </c>
      <c r="J489">
        <v>0</v>
      </c>
      <c r="L489">
        <v>0</v>
      </c>
      <c r="N489">
        <v>0</v>
      </c>
      <c r="P489">
        <v>0</v>
      </c>
    </row>
    <row r="490">
      <c r="A490" t="str">
        <v>97241</v>
      </c>
      <c r="B490" t="str">
        <v>Prader-Willi/Angelman syndrome (SNRPN methylation specific PCR)</v>
      </c>
      <c r="D490">
        <v>3100</v>
      </c>
      <c r="F490">
        <v>0</v>
      </c>
      <c r="H490">
        <v>0</v>
      </c>
      <c r="J490">
        <v>0</v>
      </c>
      <c r="L490">
        <v>0</v>
      </c>
      <c r="N490">
        <v>0</v>
      </c>
      <c r="P490">
        <v>0</v>
      </c>
    </row>
    <row r="491">
      <c r="A491" t="str">
        <v>97247</v>
      </c>
      <c r="B491" t="str">
        <v>Nickel (Ni ) , Blood</v>
      </c>
      <c r="D491">
        <v>380</v>
      </c>
      <c r="F491">
        <v>0</v>
      </c>
      <c r="H491">
        <v>0</v>
      </c>
      <c r="J491">
        <v>0</v>
      </c>
      <c r="L491">
        <v>0</v>
      </c>
      <c r="N491">
        <v>0</v>
      </c>
      <c r="P491">
        <v>0</v>
      </c>
    </row>
    <row r="492">
      <c r="A492" t="str">
        <v>97250</v>
      </c>
      <c r="B492" t="str">
        <v>Cyclohexanol</v>
      </c>
      <c r="D492">
        <v>360</v>
      </c>
      <c r="F492">
        <v>0</v>
      </c>
      <c r="H492">
        <v>0</v>
      </c>
      <c r="J492">
        <v>0</v>
      </c>
      <c r="L492">
        <v>0</v>
      </c>
      <c r="N492">
        <v>0</v>
      </c>
      <c r="P492">
        <v>0</v>
      </c>
    </row>
    <row r="493">
      <c r="A493" t="str">
        <v>97253</v>
      </c>
      <c r="B493" t="str">
        <v>2,5-Hexanedione</v>
      </c>
      <c r="D493">
        <v>480</v>
      </c>
      <c r="F493">
        <v>0</v>
      </c>
      <c r="H493">
        <v>0</v>
      </c>
      <c r="J493">
        <v>0</v>
      </c>
      <c r="L493">
        <v>0</v>
      </c>
      <c r="N493">
        <v>0</v>
      </c>
      <c r="P493">
        <v>0</v>
      </c>
    </row>
    <row r="494">
      <c r="A494" t="str">
        <v>97254</v>
      </c>
      <c r="B494" t="str">
        <v>Cobalt (Co) , Urine</v>
      </c>
      <c r="D494">
        <v>420</v>
      </c>
      <c r="F494">
        <v>0</v>
      </c>
      <c r="H494">
        <v>0</v>
      </c>
      <c r="J494">
        <v>0</v>
      </c>
      <c r="L494">
        <v>0</v>
      </c>
      <c r="N494">
        <v>0</v>
      </c>
      <c r="P494">
        <v>0</v>
      </c>
    </row>
    <row r="495">
      <c r="A495" t="str">
        <v>97257</v>
      </c>
      <c r="B495" t="str">
        <v>Ethyl Benzene</v>
      </c>
      <c r="D495">
        <v>500</v>
      </c>
      <c r="F495">
        <v>0</v>
      </c>
      <c r="H495">
        <v>0</v>
      </c>
      <c r="J495">
        <v>0</v>
      </c>
      <c r="L495">
        <v>0</v>
      </c>
      <c r="N495">
        <v>0</v>
      </c>
      <c r="P495">
        <v>0</v>
      </c>
    </row>
    <row r="496">
      <c r="A496" t="str">
        <v>97258</v>
      </c>
      <c r="B496" t="str">
        <v>Harmony TM Prenatal Test (ส่ง N-health)</v>
      </c>
      <c r="C496" t="str">
        <v>N health ไม่มีให้บริการค่ะ</v>
      </c>
      <c r="D496" t="str">
        <v>-</v>
      </c>
      <c r="F496">
        <v>0</v>
      </c>
      <c r="H496">
        <v>0</v>
      </c>
      <c r="J496">
        <v>0</v>
      </c>
      <c r="L496">
        <v>0</v>
      </c>
      <c r="N496">
        <v>0</v>
      </c>
      <c r="P496">
        <v>0</v>
      </c>
    </row>
    <row r="497">
      <c r="A497" t="str">
        <v>97259</v>
      </c>
      <c r="B497" t="str">
        <v>PND Alpha thalassemia (MGC)</v>
      </c>
      <c r="D497">
        <v>2500</v>
      </c>
      <c r="F497">
        <v>0</v>
      </c>
      <c r="H497">
        <v>0</v>
      </c>
      <c r="J497">
        <v>0</v>
      </c>
      <c r="L497">
        <v>0</v>
      </c>
      <c r="N497">
        <v>0</v>
      </c>
      <c r="P497">
        <v>0</v>
      </c>
    </row>
    <row r="498">
      <c r="A498" t="str">
        <v>98000</v>
      </c>
      <c r="B498" t="str">
        <v>Heparin-PF4 Antibody(IgG) ( With VITT )</v>
      </c>
      <c r="D498">
        <v>3000</v>
      </c>
      <c r="F498">
        <v>0</v>
      </c>
      <c r="H498">
        <v>0</v>
      </c>
      <c r="J498">
        <v>0</v>
      </c>
      <c r="L498">
        <v>0</v>
      </c>
      <c r="N498">
        <v>0</v>
      </c>
      <c r="P498">
        <v>0</v>
      </c>
    </row>
    <row r="499">
      <c r="A499" t="str">
        <v>98020</v>
      </c>
      <c r="B499" t="str">
        <v>Platelet activation assay (HIPA) ( With VITT )</v>
      </c>
      <c r="D499">
        <v>4000</v>
      </c>
      <c r="F499">
        <v>0</v>
      </c>
      <c r="H499">
        <v>0</v>
      </c>
      <c r="J499">
        <v>0</v>
      </c>
      <c r="L499">
        <v>0</v>
      </c>
      <c r="N499">
        <v>0</v>
      </c>
      <c r="P499">
        <v>0</v>
      </c>
    </row>
    <row r="500">
      <c r="A500" t="str">
        <v>98022</v>
      </c>
      <c r="B500" t="str">
        <v>Platelet activation assay (HIPA) ( Non VITT )</v>
      </c>
      <c r="D500">
        <v>4000</v>
      </c>
      <c r="F500">
        <v>0</v>
      </c>
      <c r="H500">
        <v>0</v>
      </c>
      <c r="J500">
        <v>0</v>
      </c>
      <c r="L500">
        <v>0</v>
      </c>
      <c r="N500">
        <v>0</v>
      </c>
      <c r="P500">
        <v>0</v>
      </c>
    </row>
    <row r="501">
      <c r="A501" t="str">
        <v>98035</v>
      </c>
      <c r="B501" t="str">
        <v>Meningitis/Encephalitis panel (ME panel)</v>
      </c>
      <c r="D501">
        <v>7500</v>
      </c>
      <c r="F501">
        <v>2</v>
      </c>
      <c r="H501">
        <v>0</v>
      </c>
      <c r="J501">
        <v>0</v>
      </c>
      <c r="L501">
        <v>0</v>
      </c>
      <c r="N501">
        <v>0</v>
      </c>
      <c r="P501">
        <v>1</v>
      </c>
    </row>
    <row r="502">
      <c r="A502" t="str">
        <v>98047</v>
      </c>
      <c r="B502" t="str">
        <v>CYP1A2 polymorphism</v>
      </c>
      <c r="D502">
        <v>2300</v>
      </c>
      <c r="F502">
        <v>0</v>
      </c>
      <c r="H502">
        <v>0</v>
      </c>
      <c r="J502">
        <v>0</v>
      </c>
      <c r="L502">
        <v>0</v>
      </c>
      <c r="N502">
        <v>0</v>
      </c>
      <c r="P502">
        <v>0</v>
      </c>
    </row>
    <row r="503">
      <c r="A503" t="str">
        <v>98052</v>
      </c>
      <c r="B503" t="str">
        <v>HEV RNA PCR</v>
      </c>
      <c r="D503">
        <v>2500</v>
      </c>
      <c r="F503">
        <v>0</v>
      </c>
      <c r="H503">
        <v>0</v>
      </c>
      <c r="J503">
        <v>0</v>
      </c>
      <c r="L503">
        <v>0</v>
      </c>
      <c r="N503">
        <v>0</v>
      </c>
      <c r="P503">
        <v>0</v>
      </c>
    </row>
    <row r="504">
      <c r="A504" t="str">
        <v>98056</v>
      </c>
      <c r="B504" t="str">
        <v>ANA profile 3 plus</v>
      </c>
      <c r="D504">
        <v>2000</v>
      </c>
      <c r="F504">
        <v>0</v>
      </c>
      <c r="H504">
        <v>2</v>
      </c>
      <c r="J504">
        <v>1</v>
      </c>
      <c r="L504">
        <v>0</v>
      </c>
      <c r="N504">
        <v>0</v>
      </c>
      <c r="P504">
        <v>0</v>
      </c>
    </row>
    <row r="505">
      <c r="A505" t="str">
        <v>98057</v>
      </c>
      <c r="B505" t="str">
        <v>Brucella ab</v>
      </c>
      <c r="D505">
        <v>380</v>
      </c>
      <c r="F505">
        <v>0</v>
      </c>
      <c r="H505">
        <v>0</v>
      </c>
      <c r="J505">
        <v>0</v>
      </c>
      <c r="L505">
        <v>0</v>
      </c>
      <c r="N505">
        <v>0</v>
      </c>
      <c r="P505">
        <v>0</v>
      </c>
    </row>
    <row r="506">
      <c r="A506" t="str">
        <v>98063</v>
      </c>
      <c r="B506" t="str">
        <v>Vitamin B6 (alpha EAST)</v>
      </c>
      <c r="D506">
        <v>700</v>
      </c>
      <c r="F506">
        <v>0</v>
      </c>
      <c r="H506">
        <v>0</v>
      </c>
      <c r="J506">
        <v>0</v>
      </c>
      <c r="L506">
        <v>0</v>
      </c>
      <c r="N506">
        <v>0</v>
      </c>
      <c r="P506">
        <v>0</v>
      </c>
    </row>
    <row r="507">
      <c r="A507" t="str">
        <v>98066</v>
      </c>
      <c r="B507" t="str">
        <v>Interleukin-6 (IL-6)</v>
      </c>
      <c r="D507">
        <v>1000</v>
      </c>
      <c r="F507">
        <v>0</v>
      </c>
      <c r="H507">
        <v>0</v>
      </c>
      <c r="J507">
        <v>0</v>
      </c>
      <c r="L507">
        <v>0</v>
      </c>
      <c r="N507">
        <v>0</v>
      </c>
      <c r="P507">
        <v>0</v>
      </c>
    </row>
    <row r="508">
      <c r="A508" t="str">
        <v>98070</v>
      </c>
      <c r="B508" t="str">
        <v>Phencyclidine (PCP) (Screening only)</v>
      </c>
      <c r="D508">
        <v>700</v>
      </c>
      <c r="F508">
        <v>0</v>
      </c>
      <c r="H508">
        <v>0</v>
      </c>
      <c r="J508">
        <v>0</v>
      </c>
      <c r="L508">
        <v>0</v>
      </c>
      <c r="N508">
        <v>0</v>
      </c>
      <c r="P508">
        <v>0</v>
      </c>
    </row>
    <row r="509">
      <c r="A509" t="str">
        <v>98074</v>
      </c>
      <c r="B509" t="str">
        <v>Flowcytometry : MRD, T-ALL Panel (ส่งรามาฯ)</v>
      </c>
      <c r="D509">
        <v>5000</v>
      </c>
      <c r="F509">
        <v>0</v>
      </c>
      <c r="H509">
        <v>1</v>
      </c>
      <c r="J509">
        <v>0</v>
      </c>
      <c r="L509">
        <v>0</v>
      </c>
      <c r="N509">
        <v>0</v>
      </c>
      <c r="P509">
        <v>0</v>
      </c>
    </row>
    <row r="510">
      <c r="A510" t="str">
        <v>98077</v>
      </c>
      <c r="B510" t="str">
        <v>Sclerosis profile</v>
      </c>
      <c r="D510">
        <v>3500</v>
      </c>
      <c r="F510">
        <v>0</v>
      </c>
      <c r="H510">
        <v>0</v>
      </c>
      <c r="J510">
        <v>0</v>
      </c>
      <c r="L510">
        <v>0</v>
      </c>
      <c r="N510">
        <v>0</v>
      </c>
      <c r="P510">
        <v>0</v>
      </c>
    </row>
    <row r="511">
      <c r="A511" t="str">
        <v>98080</v>
      </c>
      <c r="B511" t="str">
        <v>Fibroblast growth factor-23 (FGF-23)</v>
      </c>
      <c r="D511">
        <v>5500</v>
      </c>
      <c r="F511">
        <v>0</v>
      </c>
      <c r="H511">
        <v>0</v>
      </c>
      <c r="J511">
        <v>0</v>
      </c>
      <c r="L511">
        <v>0</v>
      </c>
      <c r="N511">
        <v>0</v>
      </c>
      <c r="P511">
        <v>0</v>
      </c>
    </row>
    <row r="512">
      <c r="A512" t="str">
        <v>98083</v>
      </c>
      <c r="B512" t="str">
        <v>1,25(OH) active vitamin D</v>
      </c>
      <c r="D512">
        <v>2000</v>
      </c>
      <c r="F512">
        <v>0</v>
      </c>
      <c r="H512">
        <v>0</v>
      </c>
      <c r="J512">
        <v>0</v>
      </c>
      <c r="L512">
        <v>0</v>
      </c>
      <c r="N512">
        <v>0</v>
      </c>
      <c r="P512">
        <v>0</v>
      </c>
    </row>
    <row r="513">
      <c r="A513" t="str">
        <v>98084</v>
      </c>
      <c r="B513" t="str">
        <v>Chromosome microarray (CMA)</v>
      </c>
      <c r="D513">
        <v>19200</v>
      </c>
      <c r="F513">
        <v>0</v>
      </c>
      <c r="H513">
        <v>0</v>
      </c>
      <c r="J513">
        <v>0</v>
      </c>
      <c r="L513">
        <v>0</v>
      </c>
      <c r="N513">
        <v>0</v>
      </c>
      <c r="P513">
        <v>0</v>
      </c>
    </row>
    <row r="514">
      <c r="A514" t="str">
        <v>98086</v>
      </c>
      <c r="B514" t="str">
        <v>Cow's milk precipitin</v>
      </c>
      <c r="D514">
        <v>890</v>
      </c>
      <c r="F514">
        <v>0</v>
      </c>
      <c r="H514">
        <v>0</v>
      </c>
      <c r="J514">
        <v>0</v>
      </c>
      <c r="L514">
        <v>0</v>
      </c>
      <c r="N514">
        <v>0</v>
      </c>
      <c r="P514">
        <v>0</v>
      </c>
    </row>
    <row r="515">
      <c r="A515" t="str">
        <v>98087</v>
      </c>
      <c r="B515" t="str">
        <v>Soy milk precipitin</v>
      </c>
      <c r="D515">
        <v>850</v>
      </c>
      <c r="F515">
        <v>0</v>
      </c>
      <c r="H515">
        <v>0</v>
      </c>
      <c r="J515">
        <v>0</v>
      </c>
      <c r="L515">
        <v>0</v>
      </c>
      <c r="N515">
        <v>0</v>
      </c>
      <c r="P515">
        <v>0</v>
      </c>
    </row>
    <row r="516">
      <c r="A516" t="str">
        <v>98090</v>
      </c>
      <c r="B516" t="str">
        <v>SCN1A</v>
      </c>
      <c r="D516">
        <v>22000</v>
      </c>
      <c r="F516">
        <v>0</v>
      </c>
      <c r="H516">
        <v>0</v>
      </c>
      <c r="J516">
        <v>0</v>
      </c>
      <c r="L516">
        <v>0</v>
      </c>
      <c r="N516">
        <v>0</v>
      </c>
      <c r="P516">
        <v>0</v>
      </c>
    </row>
    <row r="517">
      <c r="A517" t="str">
        <v>98091</v>
      </c>
      <c r="B517" t="str">
        <v>Antimony (Sb)</v>
      </c>
      <c r="D517">
        <v>350</v>
      </c>
      <c r="F517">
        <v>0</v>
      </c>
      <c r="H517">
        <v>0</v>
      </c>
      <c r="J517">
        <v>0</v>
      </c>
      <c r="L517">
        <v>0</v>
      </c>
      <c r="N517">
        <v>0</v>
      </c>
      <c r="P517">
        <v>0</v>
      </c>
    </row>
    <row r="518">
      <c r="A518" t="str">
        <v>98093</v>
      </c>
      <c r="B518" t="str">
        <v>Mono specific Ab IgG, IgA, IgM, C3c, C3d</v>
      </c>
      <c r="C518" t="str">
        <v>N health ไม่มีให้บริการค่ะ</v>
      </c>
      <c r="D518" t="str">
        <v>-</v>
      </c>
      <c r="F518">
        <v>0</v>
      </c>
      <c r="H518">
        <v>0</v>
      </c>
      <c r="J518">
        <v>0</v>
      </c>
      <c r="L518">
        <v>0</v>
      </c>
      <c r="N518">
        <v>0</v>
      </c>
      <c r="P518">
        <v>0</v>
      </c>
    </row>
    <row r="519">
      <c r="A519" t="str">
        <v>98098</v>
      </c>
      <c r="B519" t="str">
        <v>AFB culture, Automated(Hemo positive/Colony) (ส่งรามา)</v>
      </c>
      <c r="C519" t="str">
        <v>N health ไม่มีให้บริการค่ะ</v>
      </c>
      <c r="D519" t="str">
        <v>-</v>
      </c>
      <c r="F519">
        <v>0</v>
      </c>
      <c r="H519">
        <v>0</v>
      </c>
      <c r="J519">
        <v>0</v>
      </c>
      <c r="L519">
        <v>0</v>
      </c>
      <c r="N519">
        <v>0</v>
      </c>
      <c r="P519">
        <v>0</v>
      </c>
    </row>
    <row r="520">
      <c r="A520" t="str">
        <v>98099</v>
      </c>
      <c r="B520" t="str">
        <v>AFB culture, Automated(Hemo)(ส่งรามา)</v>
      </c>
      <c r="C520" t="str">
        <v>N health ไม่มีให้บริการค่ะ</v>
      </c>
      <c r="D520" t="str">
        <v>-</v>
      </c>
      <c r="F520">
        <v>0</v>
      </c>
      <c r="H520">
        <v>0</v>
      </c>
      <c r="J520">
        <v>0</v>
      </c>
      <c r="L520">
        <v>0</v>
      </c>
      <c r="N520">
        <v>0</v>
      </c>
      <c r="P520">
        <v>0</v>
      </c>
    </row>
    <row r="521">
      <c r="A521" t="str">
        <v>98102</v>
      </c>
      <c r="B521" t="str">
        <v>Alcohol (Ethanol)(เฉพาะหน่วยงานนิติเวช)</v>
      </c>
      <c r="D521">
        <v>630</v>
      </c>
      <c r="F521">
        <v>0</v>
      </c>
      <c r="H521">
        <v>0</v>
      </c>
      <c r="J521">
        <v>0</v>
      </c>
      <c r="L521">
        <v>0</v>
      </c>
      <c r="N521">
        <v>0</v>
      </c>
      <c r="P521">
        <v>0</v>
      </c>
    </row>
    <row r="522">
      <c r="A522" t="str">
        <v>98103</v>
      </c>
      <c r="B522" t="str">
        <v>FISH for Aneuploidy 13, 18, 21 X and Y</v>
      </c>
      <c r="D522">
        <v>8450</v>
      </c>
      <c r="F522">
        <v>0</v>
      </c>
      <c r="H522">
        <v>0</v>
      </c>
      <c r="J522">
        <v>0</v>
      </c>
      <c r="L522">
        <v>0</v>
      </c>
      <c r="N522">
        <v>0</v>
      </c>
      <c r="P522">
        <v>0</v>
      </c>
    </row>
    <row r="523">
      <c r="A523" t="str">
        <v>98107</v>
      </c>
      <c r="B523" t="str">
        <v>Helicobacter pylori antigen screening</v>
      </c>
      <c r="D523">
        <v>300</v>
      </c>
      <c r="F523">
        <v>6</v>
      </c>
      <c r="H523">
        <v>10</v>
      </c>
      <c r="J523">
        <v>7</v>
      </c>
      <c r="L523">
        <v>3</v>
      </c>
      <c r="N523">
        <v>9</v>
      </c>
      <c r="P523">
        <v>5</v>
      </c>
    </row>
    <row r="524">
      <c r="A524" t="str">
        <v>98108</v>
      </c>
      <c r="B524" t="str">
        <v>Sex hormone binding globulin (SHBG)</v>
      </c>
      <c r="D524">
        <v>1000</v>
      </c>
      <c r="F524">
        <v>0</v>
      </c>
      <c r="H524">
        <v>0</v>
      </c>
      <c r="J524">
        <v>0</v>
      </c>
      <c r="L524">
        <v>0</v>
      </c>
      <c r="N524">
        <v>0</v>
      </c>
      <c r="P524">
        <v>0</v>
      </c>
    </row>
    <row r="525">
      <c r="A525" t="str">
        <v>98111</v>
      </c>
      <c r="B525" t="str">
        <v>BCR-ABL (p190) Mutation detection by direct sequencing</v>
      </c>
      <c r="D525">
        <v>8500</v>
      </c>
      <c r="F525">
        <v>0</v>
      </c>
      <c r="H525">
        <v>0</v>
      </c>
      <c r="J525">
        <v>0</v>
      </c>
      <c r="L525">
        <v>0</v>
      </c>
      <c r="N525">
        <v>0</v>
      </c>
      <c r="P525">
        <v>0</v>
      </c>
    </row>
    <row r="526">
      <c r="A526" t="str">
        <v>98112</v>
      </c>
      <c r="B526" t="str">
        <v>Prealbumin</v>
      </c>
      <c r="D526">
        <v>300</v>
      </c>
      <c r="F526">
        <v>0</v>
      </c>
      <c r="H526">
        <v>0</v>
      </c>
      <c r="J526">
        <v>0</v>
      </c>
      <c r="L526">
        <v>0</v>
      </c>
      <c r="N526">
        <v>0</v>
      </c>
      <c r="P526">
        <v>0</v>
      </c>
    </row>
    <row r="527">
      <c r="A527" t="str">
        <v>98113</v>
      </c>
      <c r="B527" t="str">
        <v>Lymphocyte all subsets panel</v>
      </c>
      <c r="D527">
        <v>3000</v>
      </c>
      <c r="F527">
        <v>0</v>
      </c>
      <c r="H527">
        <v>0</v>
      </c>
      <c r="J527">
        <v>0</v>
      </c>
      <c r="L527">
        <v>0</v>
      </c>
      <c r="N527">
        <v>0</v>
      </c>
      <c r="P527">
        <v>0</v>
      </c>
    </row>
    <row r="528">
      <c r="A528" t="str">
        <v>98114</v>
      </c>
      <c r="B528" t="str">
        <v>Anti acetylcholine receptor(anti AChR) and muscle specific tyrosine kinase(anti MuSK)</v>
      </c>
      <c r="D528">
        <v>2100</v>
      </c>
      <c r="F528">
        <v>0</v>
      </c>
      <c r="H528">
        <v>0</v>
      </c>
      <c r="J528">
        <v>0</v>
      </c>
      <c r="L528">
        <v>0</v>
      </c>
      <c r="N528">
        <v>2</v>
      </c>
      <c r="P528">
        <v>0</v>
      </c>
    </row>
    <row r="529">
      <c r="A529" t="str">
        <v>98115</v>
      </c>
      <c r="B529" t="str">
        <v>TB Lipoarabinomannan (LAM)</v>
      </c>
      <c r="D529">
        <v>700</v>
      </c>
      <c r="F529">
        <v>0</v>
      </c>
      <c r="H529">
        <v>0</v>
      </c>
      <c r="J529">
        <v>0</v>
      </c>
      <c r="L529">
        <v>0</v>
      </c>
      <c r="N529">
        <v>0</v>
      </c>
      <c r="P529">
        <v>0</v>
      </c>
    </row>
    <row r="530">
      <c r="A530" t="str">
        <v>98116</v>
      </c>
      <c r="B530" t="str">
        <v>Amphetamine confirm,Other (ส่งนิติเวช ศิริราช)</v>
      </c>
      <c r="C530" t="str">
        <v>N health ไม่มีให้บริการค่ะ</v>
      </c>
      <c r="D530" t="str">
        <v>-</v>
      </c>
      <c r="F530">
        <v>0</v>
      </c>
      <c r="H530">
        <v>0</v>
      </c>
      <c r="J530">
        <v>0</v>
      </c>
      <c r="L530">
        <v>0</v>
      </c>
      <c r="N530">
        <v>0</v>
      </c>
      <c r="P530">
        <v>0</v>
      </c>
    </row>
    <row r="531">
      <c r="A531" t="str">
        <v>98117</v>
      </c>
      <c r="B531" t="str">
        <v>Nocardia culture</v>
      </c>
      <c r="D531">
        <v>800</v>
      </c>
      <c r="F531">
        <v>0</v>
      </c>
      <c r="H531">
        <v>0</v>
      </c>
      <c r="J531">
        <v>0</v>
      </c>
      <c r="L531">
        <v>0</v>
      </c>
      <c r="N531">
        <v>0</v>
      </c>
      <c r="P531">
        <v>0</v>
      </c>
    </row>
    <row r="532">
      <c r="A532" t="str">
        <v>98118</v>
      </c>
      <c r="B532" t="str">
        <v>Mycobacteria AST for Rapid growing non-tuberculous mycobacteria (MIC for 15 drugs)</v>
      </c>
      <c r="D532">
        <v>2200</v>
      </c>
      <c r="F532">
        <v>0</v>
      </c>
      <c r="H532">
        <v>0</v>
      </c>
      <c r="J532">
        <v>0</v>
      </c>
      <c r="L532">
        <v>0</v>
      </c>
      <c r="N532">
        <v>0</v>
      </c>
      <c r="P532">
        <v>0</v>
      </c>
    </row>
    <row r="533">
      <c r="A533" t="str">
        <v>98119</v>
      </c>
      <c r="B533" t="str">
        <v>ZnT8(auto antibodies of zinc transporter8)</v>
      </c>
      <c r="D533">
        <v>1500</v>
      </c>
      <c r="F533">
        <v>1</v>
      </c>
      <c r="H533">
        <v>0</v>
      </c>
      <c r="J533">
        <v>0</v>
      </c>
      <c r="L533">
        <v>0</v>
      </c>
      <c r="N533">
        <v>0</v>
      </c>
      <c r="P533">
        <v>0</v>
      </c>
    </row>
    <row r="534">
      <c r="A534" t="str">
        <v>98121</v>
      </c>
      <c r="B534" t="str">
        <v>Zika Virus, PCR (Urine) (กรณีไม่เข้าเกณฑ์)</v>
      </c>
      <c r="D534">
        <v>2500</v>
      </c>
      <c r="F534">
        <v>0</v>
      </c>
      <c r="H534">
        <v>0</v>
      </c>
      <c r="J534">
        <v>1</v>
      </c>
      <c r="L534">
        <v>0</v>
      </c>
      <c r="N534">
        <v>0</v>
      </c>
      <c r="P534">
        <v>0</v>
      </c>
    </row>
    <row r="535">
      <c r="A535" t="str">
        <v>98122</v>
      </c>
      <c r="B535" t="str">
        <v>Zika Virus Antibody IgG (กรณีไม่เข้าเกณฑ์)</v>
      </c>
      <c r="D535">
        <v>1500</v>
      </c>
      <c r="F535">
        <v>0</v>
      </c>
      <c r="H535">
        <v>0</v>
      </c>
      <c r="J535">
        <v>1</v>
      </c>
      <c r="L535">
        <v>0</v>
      </c>
      <c r="N535">
        <v>0</v>
      </c>
      <c r="P535">
        <v>0</v>
      </c>
    </row>
    <row r="536">
      <c r="A536" t="str">
        <v>98123</v>
      </c>
      <c r="B536" t="str">
        <v>Zika virus antibody IgM(กรณีไม่เข้าเกณฑ์)</v>
      </c>
      <c r="D536">
        <v>1600</v>
      </c>
      <c r="F536">
        <v>0</v>
      </c>
      <c r="H536">
        <v>0</v>
      </c>
      <c r="J536">
        <v>1</v>
      </c>
      <c r="L536">
        <v>0</v>
      </c>
      <c r="N536">
        <v>0</v>
      </c>
      <c r="P536">
        <v>0</v>
      </c>
    </row>
    <row r="537">
      <c r="A537" t="str">
        <v>98124</v>
      </c>
      <c r="B537" t="str">
        <v>Toxoplasma gondii, PCR (Blood)</v>
      </c>
      <c r="D537">
        <v>2300</v>
      </c>
      <c r="F537">
        <v>0</v>
      </c>
      <c r="H537">
        <v>0</v>
      </c>
      <c r="J537">
        <v>0</v>
      </c>
      <c r="L537">
        <v>0</v>
      </c>
      <c r="N537">
        <v>0</v>
      </c>
      <c r="P537">
        <v>0</v>
      </c>
    </row>
    <row r="538">
      <c r="A538" t="str">
        <v>98125</v>
      </c>
      <c r="B538" t="str">
        <v>Toxoplasma gondii, PCR (CSF)</v>
      </c>
      <c r="D538">
        <v>2300</v>
      </c>
      <c r="F538">
        <v>0</v>
      </c>
      <c r="H538">
        <v>0</v>
      </c>
      <c r="J538">
        <v>0</v>
      </c>
      <c r="L538">
        <v>0</v>
      </c>
      <c r="N538">
        <v>0</v>
      </c>
      <c r="P538">
        <v>0</v>
      </c>
    </row>
    <row r="539">
      <c r="A539" t="str">
        <v>98126</v>
      </c>
      <c r="B539" t="str">
        <v>COVID-19 Antibody (IgM, IgG &amp;NT)</v>
      </c>
      <c r="D539">
        <v>700</v>
      </c>
      <c r="F539">
        <v>0</v>
      </c>
      <c r="H539">
        <v>0</v>
      </c>
      <c r="J539">
        <v>0</v>
      </c>
      <c r="L539">
        <v>0</v>
      </c>
      <c r="N539">
        <v>0</v>
      </c>
      <c r="P539">
        <v>0</v>
      </c>
    </row>
    <row r="540">
      <c r="A540" t="str">
        <v>98127</v>
      </c>
      <c r="B540" t="str">
        <v>COVID-19 Antibody (NT)</v>
      </c>
      <c r="D540">
        <v>900</v>
      </c>
      <c r="F540">
        <v>0</v>
      </c>
      <c r="H540">
        <v>0</v>
      </c>
      <c r="J540">
        <v>0</v>
      </c>
      <c r="L540">
        <v>0</v>
      </c>
      <c r="N540">
        <v>0</v>
      </c>
      <c r="P540">
        <v>0</v>
      </c>
    </row>
    <row r="541">
      <c r="A541" t="str">
        <v>98128</v>
      </c>
      <c r="B541" t="str">
        <v>SARS-CoV-2 (COVID-19) Nucleocapsid IgM</v>
      </c>
      <c r="C541" t="str">
        <v>N health ไม่มีให้บริการค่ะ</v>
      </c>
      <c r="D541" t="str">
        <v>-</v>
      </c>
      <c r="F541">
        <v>0</v>
      </c>
      <c r="H541">
        <v>0</v>
      </c>
      <c r="J541">
        <v>0</v>
      </c>
      <c r="L541">
        <v>0</v>
      </c>
      <c r="N541">
        <v>0</v>
      </c>
      <c r="P541">
        <v>0</v>
      </c>
    </row>
    <row r="542">
      <c r="A542" t="str">
        <v>98129</v>
      </c>
      <c r="B542" t="str">
        <v>Covid-19 Ab IgM</v>
      </c>
      <c r="D542">
        <v>500</v>
      </c>
      <c r="F542">
        <v>0</v>
      </c>
      <c r="H542">
        <v>0</v>
      </c>
      <c r="J542">
        <v>0</v>
      </c>
      <c r="L542">
        <v>0</v>
      </c>
      <c r="N542">
        <v>0</v>
      </c>
      <c r="P542">
        <v>0</v>
      </c>
    </row>
    <row r="543">
      <c r="A543" t="str">
        <v>98130</v>
      </c>
      <c r="B543" t="str">
        <v>Carboxyhemoglobin(COHb)(ส่งนิติเวช ศิริราช)</v>
      </c>
      <c r="D543">
        <v>590</v>
      </c>
      <c r="F543">
        <v>0</v>
      </c>
      <c r="H543">
        <v>0</v>
      </c>
      <c r="J543">
        <v>0</v>
      </c>
      <c r="L543">
        <v>0</v>
      </c>
      <c r="N543">
        <v>0</v>
      </c>
      <c r="P543">
        <v>0</v>
      </c>
    </row>
    <row r="544">
      <c r="A544" t="str">
        <v>98131</v>
      </c>
      <c r="B544" t="str">
        <v>Porphyrin, Qualitative ส่งศิริราช</v>
      </c>
      <c r="D544">
        <v>600</v>
      </c>
      <c r="F544">
        <v>0</v>
      </c>
      <c r="H544">
        <v>0</v>
      </c>
      <c r="J544">
        <v>0</v>
      </c>
      <c r="L544">
        <v>0</v>
      </c>
      <c r="N544">
        <v>0</v>
      </c>
      <c r="P544">
        <v>0</v>
      </c>
    </row>
    <row r="545">
      <c r="A545" t="str">
        <v>98132</v>
      </c>
      <c r="B545" t="str">
        <v>Porphyrin, Quantitative ส่งศิริราช</v>
      </c>
      <c r="D545">
        <v>4500</v>
      </c>
      <c r="F545">
        <v>0</v>
      </c>
      <c r="H545">
        <v>0</v>
      </c>
      <c r="J545">
        <v>0</v>
      </c>
      <c r="L545">
        <v>0</v>
      </c>
      <c r="N545">
        <v>0</v>
      </c>
      <c r="P545">
        <v>0</v>
      </c>
    </row>
    <row r="546">
      <c r="B546" t="str">
        <v>Grand Total</v>
      </c>
      <c r="F546">
        <f>SUM(F3:F545)</f>
        <v>1830</v>
      </c>
      <c r="G546">
        <f>SUM(G3:G545)</f>
        <v>0</v>
      </c>
      <c r="H546">
        <f>SUM(H3:H545)</f>
        <v>1044</v>
      </c>
      <c r="I546">
        <f>SUM(I3:I545)</f>
        <v>0</v>
      </c>
      <c r="J546">
        <f>SUM(J3:J545)</f>
        <v>1150</v>
      </c>
      <c r="K546">
        <f>SUM(K3:K545)</f>
        <v>0</v>
      </c>
      <c r="L546">
        <f>SUM(L3:L545)</f>
        <v>968</v>
      </c>
      <c r="M546">
        <f>SUM(M3:M545)</f>
        <v>0</v>
      </c>
      <c r="N546">
        <f>SUM(N3:N545)</f>
        <v>922</v>
      </c>
      <c r="O546">
        <f>SUM(O3:O545)</f>
        <v>0</v>
      </c>
      <c r="P546">
        <f>SUM(P3:P545)</f>
        <v>1010</v>
      </c>
      <c r="Q546">
        <f>SUM(Q3:Q545)</f>
        <v>0</v>
      </c>
      <c r="R546">
        <f>SUM(R3:R545)</f>
        <v>0</v>
      </c>
      <c r="S546">
        <f>SUM(S3:S545)</f>
        <v>0</v>
      </c>
      <c r="T546">
        <f>SUM(T3:T545)</f>
        <v>0</v>
      </c>
      <c r="U546">
        <f>SUM(U3:U545)</f>
        <v>0</v>
      </c>
      <c r="V546">
        <f>SUM(V3:V545)</f>
        <v>0</v>
      </c>
      <c r="W546">
        <f>SUM(W3:W545)</f>
        <v>0</v>
      </c>
      <c r="X546">
        <f>SUM(X3:X545)</f>
        <v>0</v>
      </c>
      <c r="Y546">
        <f>SUM(Y3:Y545)</f>
        <v>0</v>
      </c>
      <c r="Z546">
        <f>SUM(Z3:Z545)</f>
        <v>0</v>
      </c>
      <c r="AA546">
        <f>SUM(AA3:AA545)</f>
        <v>0</v>
      </c>
      <c r="AB546">
        <f>SUM(AB3:AB545)</f>
        <v>0</v>
      </c>
    </row>
    <row r="547">
      <c r="B547" t="str">
        <v>IGRA (Interferon Gamma releasing assay) สคร6 ชลบุรี</v>
      </c>
    </row>
    <row r="548">
      <c r="B548" t="str">
        <v>Anti-DSG1 (Desmoglein1)</v>
      </c>
    </row>
    <row r="549">
      <c r="B549" t="str">
        <v>Anti-DSG3 (Desmoglein3)</v>
      </c>
    </row>
    <row r="550">
      <c r="B550" t="str">
        <v>Malaria PCR (5 Species)</v>
      </c>
    </row>
  </sheetData>
  <mergeCells count="22">
    <mergeCell ref="G1:H1"/>
    <mergeCell ref="I1:J1"/>
    <mergeCell ref="A1:A2"/>
    <mergeCell ref="B1:B2"/>
    <mergeCell ref="C1:C2"/>
    <mergeCell ref="D1:D2"/>
    <mergeCell ref="E1:F1"/>
    <mergeCell ref="B455:C455"/>
    <mergeCell ref="B490:C490"/>
    <mergeCell ref="B525:C525"/>
    <mergeCell ref="B528:C528"/>
    <mergeCell ref="B532:C532"/>
    <mergeCell ref="Y1:Z1"/>
    <mergeCell ref="AA1:AB1"/>
    <mergeCell ref="AC1:AC2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ignoredErrors>
    <ignoredError numberStoredAsText="1" sqref="A1:AE100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E992"/>
  <sheetViews>
    <sheetView workbookViewId="0" rightToLeft="0"/>
  </sheetViews>
  <sheetData>
    <row r="1">
      <c r="A1" t="str">
        <v>E-phis</v>
      </c>
      <c r="B1" t="str">
        <v>Test (LN)</v>
      </c>
      <c r="C1" t="str">
        <v>รหัสกรม</v>
      </c>
      <c r="D1" t="str">
        <v>Price</v>
      </c>
      <c r="E1" t="str">
        <v>ต.ค.</v>
      </c>
      <c r="G1" t="str">
        <v>พ.ย.</v>
      </c>
      <c r="I1" t="str">
        <v>ธ.ค.</v>
      </c>
      <c r="K1" t="str">
        <v>ม.ค.</v>
      </c>
      <c r="M1" t="str">
        <v>ก.พ.</v>
      </c>
      <c r="O1" t="str">
        <v>มี.ค.</v>
      </c>
      <c r="Q1" t="str">
        <v>เม.ย.</v>
      </c>
      <c r="S1" t="str">
        <v>พ.ค.</v>
      </c>
      <c r="U1" t="str">
        <v>มิ.ย.</v>
      </c>
      <c r="W1" t="str">
        <v>ก.ค.</v>
      </c>
      <c r="Y1" t="str">
        <v>ส.ค.</v>
      </c>
      <c r="AA1" t="str">
        <v>ก.ย.</v>
      </c>
      <c r="AC1" t="str">
        <v>Total</v>
      </c>
    </row>
    <row r="2">
      <c r="E2" t="str">
        <v>ในเวลา</v>
      </c>
      <c r="F2" t="str">
        <v>Total</v>
      </c>
      <c r="G2" t="str">
        <v>ในเวลา</v>
      </c>
      <c r="H2" t="str">
        <v>Total</v>
      </c>
      <c r="I2" t="str">
        <v>ในเวลา</v>
      </c>
      <c r="J2" t="str">
        <v>Total</v>
      </c>
      <c r="K2" t="str">
        <v>ในเวลา</v>
      </c>
      <c r="L2" t="str">
        <v>Total</v>
      </c>
      <c r="M2" t="str">
        <v>ในเวลา</v>
      </c>
      <c r="N2" t="str">
        <v>Total</v>
      </c>
      <c r="O2" t="str">
        <v>ในเวลา</v>
      </c>
      <c r="P2" t="str">
        <v>Total</v>
      </c>
      <c r="Q2" t="str">
        <v>ในเวลา</v>
      </c>
      <c r="R2" t="str">
        <v>Total</v>
      </c>
      <c r="S2" t="str">
        <v>ในเวลา</v>
      </c>
      <c r="T2" t="str">
        <v>Total</v>
      </c>
      <c r="U2" t="str">
        <v>ในเวลา</v>
      </c>
      <c r="V2" t="str">
        <v>Total</v>
      </c>
      <c r="W2" t="str">
        <v>ในเวลา</v>
      </c>
      <c r="X2" t="str">
        <v>Total</v>
      </c>
      <c r="Y2" t="str">
        <v>ในเวลา</v>
      </c>
      <c r="Z2" t="str">
        <v>Total</v>
      </c>
      <c r="AA2" t="str">
        <v>ในเวลา</v>
      </c>
      <c r="AB2" t="str">
        <v>Total</v>
      </c>
    </row>
    <row r="3">
      <c r="A3" t="str">
        <v>2</v>
      </c>
      <c r="B3" t="str">
        <v>OGTT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AC3">
        <f>SUM(F3,H3,J3,L3,N3,P3,R3,T3,V3,X3,Z3,AB3)</f>
        <v>0</v>
      </c>
    </row>
    <row r="4">
      <c r="A4" t="str">
        <v>11</v>
      </c>
      <c r="B4" t="str">
        <v>CBC</v>
      </c>
      <c r="E4">
        <v>2090</v>
      </c>
      <c r="F4">
        <v>2090</v>
      </c>
      <c r="G4">
        <v>2129</v>
      </c>
      <c r="H4">
        <v>2129</v>
      </c>
      <c r="I4">
        <v>2131</v>
      </c>
      <c r="J4">
        <v>2131</v>
      </c>
      <c r="K4">
        <v>2163</v>
      </c>
      <c r="L4">
        <v>2163</v>
      </c>
      <c r="M4">
        <v>1886</v>
      </c>
      <c r="N4">
        <v>1886</v>
      </c>
      <c r="O4">
        <v>1311</v>
      </c>
      <c r="P4">
        <v>1311</v>
      </c>
      <c r="Q4">
        <v>1487</v>
      </c>
      <c r="R4">
        <v>1487</v>
      </c>
      <c r="AC4">
        <f>SUM(F4,H4,J4,L4,N4,P4,R4,T4,V4,X4,Z4,AB4)</f>
        <v>13197</v>
      </c>
    </row>
    <row r="5">
      <c r="A5" t="str">
        <v>37</v>
      </c>
      <c r="B5" t="str">
        <v>Urinanalysis</v>
      </c>
      <c r="E5">
        <v>345</v>
      </c>
      <c r="F5">
        <v>345</v>
      </c>
      <c r="G5">
        <v>322</v>
      </c>
      <c r="H5">
        <v>322</v>
      </c>
      <c r="I5">
        <v>308</v>
      </c>
      <c r="J5">
        <v>308</v>
      </c>
      <c r="K5">
        <v>297</v>
      </c>
      <c r="L5">
        <v>297</v>
      </c>
      <c r="M5">
        <v>381</v>
      </c>
      <c r="N5">
        <v>381</v>
      </c>
      <c r="O5">
        <v>460</v>
      </c>
      <c r="P5">
        <v>460</v>
      </c>
      <c r="Q5">
        <v>530</v>
      </c>
      <c r="R5">
        <v>530</v>
      </c>
      <c r="AC5">
        <f>SUM(F5,H5,J5,L5,N5,P5,R5,T5,V5,X5,Z5,AB5)</f>
        <v>2643</v>
      </c>
    </row>
    <row r="6">
      <c r="A6" t="str">
        <v>203</v>
      </c>
      <c r="B6" t="str">
        <v>Stool Exam(Simple smear)</v>
      </c>
      <c r="E6">
        <v>23</v>
      </c>
      <c r="F6">
        <v>23</v>
      </c>
      <c r="G6">
        <v>28</v>
      </c>
      <c r="H6">
        <v>28</v>
      </c>
      <c r="I6">
        <v>13</v>
      </c>
      <c r="J6">
        <v>13</v>
      </c>
      <c r="K6">
        <v>23</v>
      </c>
      <c r="L6">
        <v>23</v>
      </c>
      <c r="M6">
        <v>22</v>
      </c>
      <c r="N6">
        <v>22</v>
      </c>
      <c r="O6">
        <v>18</v>
      </c>
      <c r="P6">
        <v>18</v>
      </c>
      <c r="Q6">
        <v>27</v>
      </c>
      <c r="R6">
        <v>27</v>
      </c>
      <c r="AC6">
        <f>SUM(F6,H6,J6,L6,N6,P6,R6,T6,V6,X6,Z6,AB6)</f>
        <v>154</v>
      </c>
    </row>
    <row r="7">
      <c r="A7" t="str">
        <v>10001</v>
      </c>
      <c r="B7" t="str">
        <v>BUN(urea nitrogen)</v>
      </c>
      <c r="E7">
        <v>1740</v>
      </c>
      <c r="F7">
        <v>1740</v>
      </c>
      <c r="G7">
        <v>1800</v>
      </c>
      <c r="H7">
        <v>1800</v>
      </c>
      <c r="I7">
        <v>1956</v>
      </c>
      <c r="J7">
        <v>1956</v>
      </c>
      <c r="K7">
        <v>1938</v>
      </c>
      <c r="L7">
        <v>1938</v>
      </c>
      <c r="M7">
        <v>1695</v>
      </c>
      <c r="N7">
        <v>1695</v>
      </c>
      <c r="O7">
        <v>1187</v>
      </c>
      <c r="P7">
        <v>1187</v>
      </c>
      <c r="Q7">
        <v>1142</v>
      </c>
      <c r="R7">
        <v>1142</v>
      </c>
      <c r="AC7">
        <f>SUM(F7,H7,J7,L7,N7,P7,R7,T7,V7,X7,Z7,AB7)</f>
        <v>11458</v>
      </c>
    </row>
    <row r="8">
      <c r="A8" t="str">
        <v>10002</v>
      </c>
      <c r="B8" t="str">
        <v>Creatinine</v>
      </c>
      <c r="E8">
        <v>1818</v>
      </c>
      <c r="F8">
        <v>1818</v>
      </c>
      <c r="G8">
        <v>1872</v>
      </c>
      <c r="H8">
        <v>1872</v>
      </c>
      <c r="I8">
        <v>2012</v>
      </c>
      <c r="J8">
        <v>2012</v>
      </c>
      <c r="K8">
        <v>2003</v>
      </c>
      <c r="L8">
        <v>2003</v>
      </c>
      <c r="M8">
        <v>1832</v>
      </c>
      <c r="N8">
        <v>1832</v>
      </c>
      <c r="O8">
        <v>1381</v>
      </c>
      <c r="P8">
        <v>1381</v>
      </c>
      <c r="Q8">
        <v>1586</v>
      </c>
      <c r="R8">
        <v>1586</v>
      </c>
      <c r="AC8">
        <f>SUM(F8,H8,J8,L8,N8,P8,R8,T8,V8,X8,Z8,AB8)</f>
        <v>12504</v>
      </c>
    </row>
    <row r="9">
      <c r="A9" t="str">
        <v>10003</v>
      </c>
      <c r="B9" t="str">
        <v>Uric acid</v>
      </c>
      <c r="E9">
        <v>1506</v>
      </c>
      <c r="F9">
        <v>1506</v>
      </c>
      <c r="G9">
        <v>1569</v>
      </c>
      <c r="H9">
        <v>1569</v>
      </c>
      <c r="I9">
        <v>1672</v>
      </c>
      <c r="J9">
        <v>1672</v>
      </c>
      <c r="K9">
        <v>1667</v>
      </c>
      <c r="L9">
        <v>1667</v>
      </c>
      <c r="M9">
        <v>1337</v>
      </c>
      <c r="N9">
        <v>1337</v>
      </c>
      <c r="O9">
        <v>691</v>
      </c>
      <c r="P9">
        <v>691</v>
      </c>
      <c r="Q9">
        <v>532</v>
      </c>
      <c r="R9">
        <v>532</v>
      </c>
      <c r="AC9">
        <f>SUM(F9,H9,J9,L9,N9,P9,R9,T9,V9,X9,Z9,AB9)</f>
        <v>8974</v>
      </c>
    </row>
    <row r="10">
      <c r="A10" t="str">
        <v>10004</v>
      </c>
      <c r="B10" t="str">
        <v>Cholesterol(total)</v>
      </c>
      <c r="E10">
        <v>1714</v>
      </c>
      <c r="F10">
        <v>1714</v>
      </c>
      <c r="G10">
        <v>1796</v>
      </c>
      <c r="H10">
        <v>1796</v>
      </c>
      <c r="I10">
        <v>1887</v>
      </c>
      <c r="J10">
        <v>1887</v>
      </c>
      <c r="K10">
        <v>1899</v>
      </c>
      <c r="L10">
        <v>1899</v>
      </c>
      <c r="M10">
        <v>1687</v>
      </c>
      <c r="N10">
        <v>1687</v>
      </c>
      <c r="O10">
        <v>1266</v>
      </c>
      <c r="P10">
        <v>1266</v>
      </c>
      <c r="Q10">
        <v>1185</v>
      </c>
      <c r="R10">
        <v>1185</v>
      </c>
      <c r="AC10">
        <f>SUM(F10,H10,J10,L10,N10,P10,R10,T10,V10,X10,Z10,AB10)</f>
        <v>11434</v>
      </c>
    </row>
    <row r="11">
      <c r="A11" t="str">
        <v>10005</v>
      </c>
      <c r="B11" t="str">
        <v>Triglyceride</v>
      </c>
      <c r="E11">
        <v>1715</v>
      </c>
      <c r="F11">
        <v>1715</v>
      </c>
      <c r="G11">
        <v>1795</v>
      </c>
      <c r="H11">
        <v>1795</v>
      </c>
      <c r="I11">
        <v>1887</v>
      </c>
      <c r="J11">
        <v>1887</v>
      </c>
      <c r="K11">
        <v>1901</v>
      </c>
      <c r="L11">
        <v>1901</v>
      </c>
      <c r="M11">
        <v>1690</v>
      </c>
      <c r="N11">
        <v>1690</v>
      </c>
      <c r="O11">
        <v>1275</v>
      </c>
      <c r="P11">
        <v>1275</v>
      </c>
      <c r="Q11">
        <v>1198</v>
      </c>
      <c r="R11">
        <v>1198</v>
      </c>
      <c r="AC11">
        <f>SUM(F11,H11,J11,L11,N11,P11,R11,T11,V11,X11,Z11,AB11)</f>
        <v>11461</v>
      </c>
    </row>
    <row r="12">
      <c r="A12" t="str">
        <v>10006</v>
      </c>
      <c r="B12" t="str">
        <v>HDL-Cholesterol</v>
      </c>
      <c r="E12">
        <v>1714</v>
      </c>
      <c r="F12">
        <v>1714</v>
      </c>
      <c r="G12">
        <v>1796</v>
      </c>
      <c r="H12">
        <v>1796</v>
      </c>
      <c r="I12">
        <v>1887</v>
      </c>
      <c r="J12">
        <v>1887</v>
      </c>
      <c r="K12">
        <v>1900</v>
      </c>
      <c r="L12">
        <v>1900</v>
      </c>
      <c r="M12">
        <v>1687</v>
      </c>
      <c r="N12">
        <v>1687</v>
      </c>
      <c r="O12">
        <v>1269</v>
      </c>
      <c r="P12">
        <v>1269</v>
      </c>
      <c r="Q12">
        <v>1185</v>
      </c>
      <c r="R12">
        <v>1185</v>
      </c>
      <c r="AC12">
        <f>SUM(F12,H12,J12,L12,N12,P12,R12,T12,V12,X12,Z12,AB12)</f>
        <v>11438</v>
      </c>
    </row>
    <row r="13">
      <c r="A13" t="str">
        <v>10008</v>
      </c>
      <c r="B13" t="str">
        <v>LDL Cholesterol (direct)</v>
      </c>
      <c r="E13">
        <v>40</v>
      </c>
      <c r="F13">
        <v>40</v>
      </c>
      <c r="G13">
        <v>48</v>
      </c>
      <c r="H13">
        <v>48</v>
      </c>
      <c r="I13">
        <v>37</v>
      </c>
      <c r="J13">
        <v>37</v>
      </c>
      <c r="K13">
        <v>47</v>
      </c>
      <c r="L13">
        <v>47</v>
      </c>
      <c r="M13">
        <v>58</v>
      </c>
      <c r="N13">
        <v>58</v>
      </c>
      <c r="O13">
        <v>78</v>
      </c>
      <c r="P13">
        <v>78</v>
      </c>
      <c r="Q13">
        <v>123</v>
      </c>
      <c r="R13">
        <v>123</v>
      </c>
      <c r="AC13">
        <f>SUM(F13,H13,J13,L13,N13,P13,R13,T13,V13,X13,Z13,AB13)</f>
        <v>431</v>
      </c>
    </row>
    <row r="14">
      <c r="A14" t="str">
        <v>10009</v>
      </c>
      <c r="B14" t="str">
        <v>Sodium</v>
      </c>
      <c r="E14">
        <v>277</v>
      </c>
      <c r="F14">
        <v>277</v>
      </c>
      <c r="G14">
        <v>299</v>
      </c>
      <c r="H14">
        <v>299</v>
      </c>
      <c r="I14">
        <v>302</v>
      </c>
      <c r="J14">
        <v>302</v>
      </c>
      <c r="K14">
        <v>315</v>
      </c>
      <c r="L14">
        <v>315</v>
      </c>
      <c r="M14">
        <v>366</v>
      </c>
      <c r="N14">
        <v>366</v>
      </c>
      <c r="O14">
        <v>534</v>
      </c>
      <c r="P14">
        <v>534</v>
      </c>
      <c r="Q14">
        <v>647</v>
      </c>
      <c r="R14">
        <v>647</v>
      </c>
      <c r="AC14">
        <f>SUM(F14,H14,J14,L14,N14,P14,R14,T14,V14,X14,Z14,AB14)</f>
        <v>2740</v>
      </c>
    </row>
    <row r="15">
      <c r="A15" t="str">
        <v>10010</v>
      </c>
      <c r="B15" t="str">
        <v>Potassium</v>
      </c>
      <c r="E15">
        <v>1676</v>
      </c>
      <c r="F15">
        <v>1676</v>
      </c>
      <c r="G15">
        <v>1741</v>
      </c>
      <c r="H15">
        <v>1741</v>
      </c>
      <c r="I15">
        <v>1888</v>
      </c>
      <c r="J15">
        <v>1888</v>
      </c>
      <c r="K15">
        <v>1881</v>
      </c>
      <c r="L15">
        <v>1881</v>
      </c>
      <c r="M15">
        <v>1615</v>
      </c>
      <c r="N15">
        <v>1615</v>
      </c>
      <c r="O15">
        <v>1127</v>
      </c>
      <c r="P15">
        <v>1127</v>
      </c>
      <c r="Q15">
        <v>1061</v>
      </c>
      <c r="R15">
        <v>1061</v>
      </c>
      <c r="AC15">
        <f>SUM(F15,H15,J15,L15,N15,P15,R15,T15,V15,X15,Z15,AB15)</f>
        <v>10989</v>
      </c>
    </row>
    <row r="16">
      <c r="A16" t="str">
        <v>10011</v>
      </c>
      <c r="B16" t="str">
        <v>Chloride</v>
      </c>
      <c r="E16">
        <v>251</v>
      </c>
      <c r="F16">
        <v>251</v>
      </c>
      <c r="G16">
        <v>270</v>
      </c>
      <c r="H16">
        <v>270</v>
      </c>
      <c r="I16">
        <v>288</v>
      </c>
      <c r="J16">
        <v>288</v>
      </c>
      <c r="K16">
        <v>308</v>
      </c>
      <c r="L16">
        <v>308</v>
      </c>
      <c r="M16">
        <v>353</v>
      </c>
      <c r="N16">
        <v>353</v>
      </c>
      <c r="O16">
        <v>524</v>
      </c>
      <c r="P16">
        <v>524</v>
      </c>
      <c r="Q16">
        <v>629</v>
      </c>
      <c r="R16">
        <v>629</v>
      </c>
      <c r="AC16">
        <f>SUM(F16,H16,J16,L16,N16,P16,R16,T16,V16,X16,Z16,AB16)</f>
        <v>2623</v>
      </c>
    </row>
    <row r="17">
      <c r="A17" t="str">
        <v>10012</v>
      </c>
      <c r="B17" t="str">
        <v>Total CO2</v>
      </c>
      <c r="E17">
        <v>251</v>
      </c>
      <c r="F17">
        <v>251</v>
      </c>
      <c r="G17">
        <v>269</v>
      </c>
      <c r="H17">
        <v>269</v>
      </c>
      <c r="I17">
        <v>286</v>
      </c>
      <c r="J17">
        <v>286</v>
      </c>
      <c r="K17">
        <v>308</v>
      </c>
      <c r="L17">
        <v>308</v>
      </c>
      <c r="M17">
        <v>353</v>
      </c>
      <c r="N17">
        <v>353</v>
      </c>
      <c r="O17">
        <v>523</v>
      </c>
      <c r="P17">
        <v>523</v>
      </c>
      <c r="Q17">
        <v>628</v>
      </c>
      <c r="R17">
        <v>628</v>
      </c>
      <c r="AC17">
        <f>SUM(F17,H17,J17,L17,N17,P17,R17,T17,V17,X17,Z17,AB17)</f>
        <v>2618</v>
      </c>
    </row>
    <row r="18">
      <c r="A18" t="str">
        <v>10013</v>
      </c>
      <c r="B18" t="str">
        <v>Calcium(total)</v>
      </c>
      <c r="E18">
        <v>25</v>
      </c>
      <c r="F18">
        <v>25</v>
      </c>
      <c r="G18">
        <v>26</v>
      </c>
      <c r="H18">
        <v>26</v>
      </c>
      <c r="I18">
        <v>31</v>
      </c>
      <c r="J18">
        <v>31</v>
      </c>
      <c r="K18">
        <v>38</v>
      </c>
      <c r="L18">
        <v>38</v>
      </c>
      <c r="M18">
        <v>39</v>
      </c>
      <c r="N18">
        <v>39</v>
      </c>
      <c r="O18">
        <v>46</v>
      </c>
      <c r="P18">
        <v>46</v>
      </c>
      <c r="Q18">
        <v>173</v>
      </c>
      <c r="R18">
        <v>173</v>
      </c>
      <c r="AC18">
        <f>SUM(F18,H18,J18,L18,N18,P18,R18,T18,V18,X18,Z18,AB18)</f>
        <v>378</v>
      </c>
    </row>
    <row r="19">
      <c r="A19" t="str">
        <v>10014</v>
      </c>
      <c r="B19" t="str">
        <v>Phosphorus</v>
      </c>
      <c r="E19">
        <v>24</v>
      </c>
      <c r="F19">
        <v>24</v>
      </c>
      <c r="G19">
        <v>25</v>
      </c>
      <c r="H19">
        <v>25</v>
      </c>
      <c r="I19">
        <v>31</v>
      </c>
      <c r="J19">
        <v>31</v>
      </c>
      <c r="K19">
        <v>36</v>
      </c>
      <c r="L19">
        <v>36</v>
      </c>
      <c r="M19">
        <v>37</v>
      </c>
      <c r="N19">
        <v>37</v>
      </c>
      <c r="O19">
        <v>46</v>
      </c>
      <c r="P19">
        <v>46</v>
      </c>
      <c r="Q19">
        <v>201</v>
      </c>
      <c r="R19">
        <v>201</v>
      </c>
      <c r="AC19">
        <f>SUM(F19,H19,J19,L19,N19,P19,R19,T19,V19,X19,Z19,AB19)</f>
        <v>400</v>
      </c>
    </row>
    <row r="20">
      <c r="A20" t="str">
        <v>10015</v>
      </c>
      <c r="B20" t="str">
        <v>Magnesium</v>
      </c>
      <c r="E20">
        <v>20</v>
      </c>
      <c r="F20">
        <v>20</v>
      </c>
      <c r="G20">
        <v>18</v>
      </c>
      <c r="H20">
        <v>18</v>
      </c>
      <c r="I20">
        <v>23</v>
      </c>
      <c r="J20">
        <v>23</v>
      </c>
      <c r="K20">
        <v>17</v>
      </c>
      <c r="L20">
        <v>17</v>
      </c>
      <c r="M20">
        <v>15</v>
      </c>
      <c r="N20">
        <v>15</v>
      </c>
      <c r="O20">
        <v>27</v>
      </c>
      <c r="P20">
        <v>27</v>
      </c>
      <c r="Q20">
        <v>37</v>
      </c>
      <c r="R20">
        <v>37</v>
      </c>
      <c r="AC20">
        <f>SUM(F20,H20,J20,L20,N20,P20,R20,T20,V20,X20,Z20,AB20)</f>
        <v>157</v>
      </c>
    </row>
    <row r="21">
      <c r="A21" t="str">
        <v>10016</v>
      </c>
      <c r="B21" t="str">
        <v>Protein(total)</v>
      </c>
      <c r="E21">
        <v>118</v>
      </c>
      <c r="F21">
        <v>118</v>
      </c>
      <c r="G21">
        <v>118</v>
      </c>
      <c r="H21">
        <v>118</v>
      </c>
      <c r="I21">
        <v>131</v>
      </c>
      <c r="J21">
        <v>131</v>
      </c>
      <c r="K21">
        <v>121</v>
      </c>
      <c r="L21">
        <v>121</v>
      </c>
      <c r="M21">
        <v>171</v>
      </c>
      <c r="N21">
        <v>171</v>
      </c>
      <c r="O21">
        <v>226</v>
      </c>
      <c r="P21">
        <v>226</v>
      </c>
      <c r="Q21">
        <v>282</v>
      </c>
      <c r="R21">
        <v>282</v>
      </c>
      <c r="AC21">
        <f>SUM(F21,H21,J21,L21,N21,P21,R21,T21,V21,X21,Z21,AB21)</f>
        <v>1167</v>
      </c>
    </row>
    <row r="22">
      <c r="A22" t="str">
        <v>10017</v>
      </c>
      <c r="B22" t="str">
        <v>Albumin</v>
      </c>
      <c r="E22">
        <v>132</v>
      </c>
      <c r="F22">
        <v>132</v>
      </c>
      <c r="G22">
        <v>137</v>
      </c>
      <c r="H22">
        <v>137</v>
      </c>
      <c r="I22">
        <v>151</v>
      </c>
      <c r="J22">
        <v>151</v>
      </c>
      <c r="K22">
        <v>148</v>
      </c>
      <c r="L22">
        <v>148</v>
      </c>
      <c r="M22">
        <v>197</v>
      </c>
      <c r="N22">
        <v>197</v>
      </c>
      <c r="O22">
        <v>258</v>
      </c>
      <c r="P22">
        <v>258</v>
      </c>
      <c r="Q22">
        <v>424</v>
      </c>
      <c r="R22">
        <v>424</v>
      </c>
      <c r="AC22">
        <f>SUM(F22,H22,J22,L22,N22,P22,R22,T22,V22,X22,Z22,AB22)</f>
        <v>1447</v>
      </c>
    </row>
    <row r="23">
      <c r="A23" t="str">
        <v>10019</v>
      </c>
      <c r="B23" t="str">
        <v>Bilirubin(total)</v>
      </c>
      <c r="E23">
        <v>133</v>
      </c>
      <c r="F23">
        <v>133</v>
      </c>
      <c r="G23">
        <v>141</v>
      </c>
      <c r="H23">
        <v>141</v>
      </c>
      <c r="I23">
        <v>143</v>
      </c>
      <c r="J23">
        <v>143</v>
      </c>
      <c r="K23">
        <v>133</v>
      </c>
      <c r="L23">
        <v>133</v>
      </c>
      <c r="M23">
        <v>176</v>
      </c>
      <c r="N23">
        <v>176</v>
      </c>
      <c r="O23">
        <v>233</v>
      </c>
      <c r="P23">
        <v>233</v>
      </c>
      <c r="Q23">
        <v>300</v>
      </c>
      <c r="R23">
        <v>300</v>
      </c>
      <c r="AC23">
        <f>SUM(F23,H23,J23,L23,N23,P23,R23,T23,V23,X23,Z23,AB23)</f>
        <v>1259</v>
      </c>
    </row>
    <row r="24">
      <c r="A24" t="str">
        <v>10020</v>
      </c>
      <c r="B24" t="str">
        <v>Bilirubin(direct)</v>
      </c>
      <c r="E24">
        <v>119</v>
      </c>
      <c r="F24">
        <v>119</v>
      </c>
      <c r="G24">
        <v>122</v>
      </c>
      <c r="H24">
        <v>122</v>
      </c>
      <c r="I24">
        <v>131</v>
      </c>
      <c r="J24">
        <v>131</v>
      </c>
      <c r="K24">
        <v>122</v>
      </c>
      <c r="L24">
        <v>122</v>
      </c>
      <c r="M24">
        <v>168</v>
      </c>
      <c r="N24">
        <v>168</v>
      </c>
      <c r="O24">
        <v>226</v>
      </c>
      <c r="P24">
        <v>226</v>
      </c>
      <c r="Q24">
        <v>281</v>
      </c>
      <c r="R24">
        <v>281</v>
      </c>
      <c r="AC24">
        <f>SUM(F24,H24,J24,L24,N24,P24,R24,T24,V24,X24,Z24,AB24)</f>
        <v>1169</v>
      </c>
    </row>
    <row r="25">
      <c r="A25" t="str">
        <v>10021</v>
      </c>
      <c r="B25" t="str">
        <v>Alkaline phosphatase</v>
      </c>
      <c r="E25">
        <v>1587</v>
      </c>
      <c r="F25">
        <v>1587</v>
      </c>
      <c r="G25">
        <v>1646</v>
      </c>
      <c r="H25">
        <v>1646</v>
      </c>
      <c r="I25">
        <v>1764</v>
      </c>
      <c r="J25">
        <v>1764</v>
      </c>
      <c r="K25">
        <v>1731</v>
      </c>
      <c r="L25">
        <v>1731</v>
      </c>
      <c r="M25">
        <v>1449</v>
      </c>
      <c r="N25">
        <v>1449</v>
      </c>
      <c r="O25">
        <v>856</v>
      </c>
      <c r="P25">
        <v>856</v>
      </c>
      <c r="Q25">
        <v>682</v>
      </c>
      <c r="R25">
        <v>682</v>
      </c>
      <c r="AC25">
        <f>SUM(F25,H25,J25,L25,N25,P25,R25,T25,V25,X25,Z25,AB25)</f>
        <v>9715</v>
      </c>
    </row>
    <row r="26">
      <c r="A26" t="str">
        <v>10022</v>
      </c>
      <c r="B26" t="str">
        <v>SGOT(AST)</v>
      </c>
      <c r="E26">
        <v>1632</v>
      </c>
      <c r="F26">
        <v>1632</v>
      </c>
      <c r="G26">
        <v>1690</v>
      </c>
      <c r="H26">
        <v>1690</v>
      </c>
      <c r="I26">
        <v>1809</v>
      </c>
      <c r="J26">
        <v>1809</v>
      </c>
      <c r="K26">
        <v>1774</v>
      </c>
      <c r="L26">
        <v>1774</v>
      </c>
      <c r="M26">
        <v>1549</v>
      </c>
      <c r="N26">
        <v>1549</v>
      </c>
      <c r="O26">
        <v>1001</v>
      </c>
      <c r="P26">
        <v>1001</v>
      </c>
      <c r="Q26">
        <v>956</v>
      </c>
      <c r="R26">
        <v>956</v>
      </c>
      <c r="AC26">
        <f>SUM(F26,H26,J26,L26,N26,P26,R26,T26,V26,X26,Z26,AB26)</f>
        <v>10411</v>
      </c>
    </row>
    <row r="27">
      <c r="A27" t="str">
        <v>10023</v>
      </c>
      <c r="B27" t="str">
        <v>SGPT(ALT)</v>
      </c>
      <c r="E27">
        <v>1634</v>
      </c>
      <c r="F27">
        <v>1634</v>
      </c>
      <c r="G27">
        <v>1693</v>
      </c>
      <c r="H27">
        <v>1693</v>
      </c>
      <c r="I27">
        <v>1810</v>
      </c>
      <c r="J27">
        <v>1810</v>
      </c>
      <c r="K27">
        <v>1782</v>
      </c>
      <c r="L27">
        <v>1782</v>
      </c>
      <c r="M27">
        <v>1557</v>
      </c>
      <c r="N27">
        <v>1557</v>
      </c>
      <c r="O27">
        <v>1020</v>
      </c>
      <c r="P27">
        <v>1020</v>
      </c>
      <c r="Q27">
        <v>1026</v>
      </c>
      <c r="R27">
        <v>1026</v>
      </c>
      <c r="AC27">
        <f>SUM(F27,H27,J27,L27,N27,P27,R27,T27,V27,X27,Z27,AB27)</f>
        <v>10522</v>
      </c>
    </row>
    <row r="28">
      <c r="A28" t="str">
        <v>10032</v>
      </c>
      <c r="B28" t="str">
        <v>Creatinine-random urine</v>
      </c>
      <c r="E28">
        <v>1445</v>
      </c>
      <c r="F28">
        <v>1445</v>
      </c>
      <c r="G28">
        <v>1507</v>
      </c>
      <c r="H28">
        <v>1507</v>
      </c>
      <c r="I28">
        <v>1596</v>
      </c>
      <c r="J28">
        <v>1596</v>
      </c>
      <c r="K28">
        <v>1597</v>
      </c>
      <c r="L28">
        <v>1597</v>
      </c>
      <c r="M28">
        <v>1282</v>
      </c>
      <c r="N28">
        <v>1282</v>
      </c>
      <c r="O28">
        <v>680</v>
      </c>
      <c r="P28">
        <v>680</v>
      </c>
      <c r="Q28">
        <v>500</v>
      </c>
      <c r="R28">
        <v>500</v>
      </c>
      <c r="AC28">
        <f>SUM(F28,H28,J28,L28,N28,P28,R28,T28,V28,X28,Z28,AB28)</f>
        <v>8607</v>
      </c>
    </row>
    <row r="29">
      <c r="A29" t="str">
        <v>10036</v>
      </c>
      <c r="B29" t="str">
        <v>HbA1C</v>
      </c>
      <c r="E29">
        <v>892</v>
      </c>
      <c r="F29">
        <v>892</v>
      </c>
      <c r="G29">
        <v>821</v>
      </c>
      <c r="H29">
        <v>821</v>
      </c>
      <c r="I29">
        <v>875</v>
      </c>
      <c r="J29">
        <v>875</v>
      </c>
      <c r="K29">
        <v>853</v>
      </c>
      <c r="L29">
        <v>853</v>
      </c>
      <c r="M29">
        <v>834</v>
      </c>
      <c r="N29">
        <v>834</v>
      </c>
      <c r="O29">
        <v>735</v>
      </c>
      <c r="P29">
        <v>735</v>
      </c>
      <c r="Q29">
        <v>973</v>
      </c>
      <c r="R29">
        <v>973</v>
      </c>
      <c r="AC29">
        <f>SUM(F29,H29,J29,L29,N29,P29,R29,T29,V29,X29,Z29,AB29)</f>
        <v>5983</v>
      </c>
    </row>
    <row r="30">
      <c r="A30" t="str">
        <v>10039</v>
      </c>
      <c r="B30" t="str">
        <v>Microalbumin-urine</v>
      </c>
      <c r="E30">
        <v>1445</v>
      </c>
      <c r="F30">
        <v>1445</v>
      </c>
      <c r="G30">
        <v>1507</v>
      </c>
      <c r="H30">
        <v>1507</v>
      </c>
      <c r="I30">
        <v>1597</v>
      </c>
      <c r="J30">
        <v>1597</v>
      </c>
      <c r="K30">
        <v>1595</v>
      </c>
      <c r="L30">
        <v>1595</v>
      </c>
      <c r="M30">
        <v>1279</v>
      </c>
      <c r="N30">
        <v>1279</v>
      </c>
      <c r="O30">
        <v>678</v>
      </c>
      <c r="P30">
        <v>678</v>
      </c>
      <c r="Q30">
        <v>476</v>
      </c>
      <c r="R30">
        <v>476</v>
      </c>
      <c r="AC30">
        <f>SUM(F30,H30,J30,L30,N30,P30,R30,T30,V30,X30,Z30,AB30)</f>
        <v>8577</v>
      </c>
    </row>
    <row r="31">
      <c r="A31" t="str">
        <v>10175</v>
      </c>
      <c r="B31" t="str">
        <v>Glucose</v>
      </c>
      <c r="E31">
        <v>1774</v>
      </c>
      <c r="F31">
        <v>1774</v>
      </c>
      <c r="G31">
        <v>1795</v>
      </c>
      <c r="H31">
        <v>1795</v>
      </c>
      <c r="I31">
        <v>1915</v>
      </c>
      <c r="J31">
        <v>1915</v>
      </c>
      <c r="K31">
        <v>1907</v>
      </c>
      <c r="L31">
        <v>1907</v>
      </c>
      <c r="M31">
        <v>1773</v>
      </c>
      <c r="N31">
        <v>1773</v>
      </c>
      <c r="O31">
        <v>1464</v>
      </c>
      <c r="P31">
        <v>1464</v>
      </c>
      <c r="Q31">
        <v>1623</v>
      </c>
      <c r="R31">
        <v>1623</v>
      </c>
      <c r="AC31">
        <f>SUM(F31,H31,J31,L31,N31,P31,R31,T31,V31,X31,Z31,AB31)</f>
        <v>12251</v>
      </c>
    </row>
    <row r="32">
      <c r="A32" t="str">
        <v>10209</v>
      </c>
      <c r="B32" t="str">
        <v>Sodium-urine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2</v>
      </c>
      <c r="L32">
        <v>2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AC32">
        <f>SUM(F32,H32,J32,L32,N32,P32,R32,T32,V32,X32,Z32,AB32)</f>
        <v>4</v>
      </c>
    </row>
    <row r="33">
      <c r="A33" t="str">
        <v>10210</v>
      </c>
      <c r="B33" t="str">
        <v>Potassium-urine</v>
      </c>
      <c r="E33">
        <v>1</v>
      </c>
      <c r="F33">
        <v>1</v>
      </c>
      <c r="G33">
        <v>0</v>
      </c>
      <c r="H33">
        <v>0</v>
      </c>
      <c r="I33">
        <v>1</v>
      </c>
      <c r="J33">
        <v>1</v>
      </c>
      <c r="K33">
        <v>2</v>
      </c>
      <c r="L33">
        <v>2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AC33">
        <f>SUM(F33,H33,J33,L33,N33,P33,R33,T33,V33,X33,Z33,AB33)</f>
        <v>5</v>
      </c>
    </row>
    <row r="34">
      <c r="A34" t="str">
        <v>10211</v>
      </c>
      <c r="B34" t="str">
        <v>Chloride-urine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2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AC34">
        <f>SUM(F34,H34,J34,L34,N34,P34,R34,T34,V34,X34,Z34,AB34)</f>
        <v>3</v>
      </c>
    </row>
    <row r="35">
      <c r="A35" t="str">
        <v>10216</v>
      </c>
      <c r="B35" t="str">
        <v>Anion Gap</v>
      </c>
      <c r="E35">
        <v>223</v>
      </c>
      <c r="F35">
        <v>223</v>
      </c>
      <c r="G35">
        <v>226</v>
      </c>
      <c r="H35">
        <v>226</v>
      </c>
      <c r="I35">
        <v>245</v>
      </c>
      <c r="J35">
        <v>245</v>
      </c>
      <c r="K35">
        <v>291</v>
      </c>
      <c r="L35">
        <v>291</v>
      </c>
      <c r="M35">
        <v>348</v>
      </c>
      <c r="N35">
        <v>348</v>
      </c>
      <c r="O35">
        <v>518</v>
      </c>
      <c r="P35">
        <v>518</v>
      </c>
      <c r="Q35">
        <v>623</v>
      </c>
      <c r="R35">
        <v>623</v>
      </c>
      <c r="AC35">
        <f>SUM(F35,H35,J35,L35,N35,P35,R35,T35,V35,X35,Z35,AB35)</f>
        <v>2474</v>
      </c>
    </row>
    <row r="36">
      <c r="A36" t="str">
        <v>10236</v>
      </c>
      <c r="B36" t="str">
        <v>Glucose challenge test (GCT)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C36">
        <f>SUM(F36,H36,J36,L36,N36,P36,R36,T36,V36,X36,Z36,AB36)</f>
        <v>0</v>
      </c>
    </row>
    <row r="37">
      <c r="A37" t="str">
        <v>10295</v>
      </c>
      <c r="B37" t="str">
        <v>2 Hrs. Postpandial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AC37">
        <f>SUM(F37,H37,J37,L37,N37,P37,R37,T37,V37,X37,Z37,AB37)</f>
        <v>0</v>
      </c>
    </row>
    <row r="38">
      <c r="A38" t="str">
        <v>10308</v>
      </c>
      <c r="B38" t="str">
        <v>Ketone-serum</v>
      </c>
      <c r="E38">
        <v>9</v>
      </c>
      <c r="F38">
        <v>9</v>
      </c>
      <c r="G38">
        <v>9</v>
      </c>
      <c r="H38">
        <v>9</v>
      </c>
      <c r="I38">
        <v>9</v>
      </c>
      <c r="J38">
        <v>9</v>
      </c>
      <c r="K38">
        <v>21</v>
      </c>
      <c r="L38">
        <v>21</v>
      </c>
      <c r="M38">
        <v>22</v>
      </c>
      <c r="N38">
        <v>22</v>
      </c>
      <c r="O38">
        <v>23</v>
      </c>
      <c r="P38">
        <v>23</v>
      </c>
      <c r="Q38">
        <v>21</v>
      </c>
      <c r="R38">
        <v>21</v>
      </c>
      <c r="AC38">
        <f>SUM(F38,H38,J38,L38,N38,P38,R38,T38,V38,X38,Z38,AB38)</f>
        <v>114</v>
      </c>
    </row>
    <row r="39">
      <c r="A39" t="str">
        <v>10313</v>
      </c>
      <c r="B39" t="str">
        <v>Troponin-T( ศสม.)</v>
      </c>
      <c r="E39">
        <v>12</v>
      </c>
      <c r="F39">
        <v>12</v>
      </c>
      <c r="G39">
        <v>10</v>
      </c>
      <c r="H39">
        <v>10</v>
      </c>
      <c r="I39">
        <v>16</v>
      </c>
      <c r="J39">
        <v>16</v>
      </c>
      <c r="K39">
        <v>11</v>
      </c>
      <c r="L39">
        <v>11</v>
      </c>
      <c r="M39">
        <v>12</v>
      </c>
      <c r="N39">
        <v>12</v>
      </c>
      <c r="O39">
        <v>14</v>
      </c>
      <c r="P39">
        <v>14</v>
      </c>
      <c r="Q39">
        <v>2</v>
      </c>
      <c r="R39">
        <v>2</v>
      </c>
      <c r="AC39">
        <f>SUM(F39,H39,J39,L39,N39,P39,R39,T39,V39,X39,Z39,AB39)</f>
        <v>77</v>
      </c>
    </row>
    <row r="40">
      <c r="A40" t="str">
        <v>20066</v>
      </c>
      <c r="B40" t="str">
        <v>ESR</v>
      </c>
      <c r="E40">
        <v>9</v>
      </c>
      <c r="F40">
        <v>9</v>
      </c>
      <c r="G40">
        <v>3</v>
      </c>
      <c r="H40">
        <v>3</v>
      </c>
      <c r="I40">
        <v>10</v>
      </c>
      <c r="J40">
        <v>10</v>
      </c>
      <c r="K40">
        <v>10</v>
      </c>
      <c r="L40">
        <v>10</v>
      </c>
      <c r="M40">
        <v>23</v>
      </c>
      <c r="N40">
        <v>23</v>
      </c>
      <c r="O40">
        <v>28</v>
      </c>
      <c r="P40">
        <v>28</v>
      </c>
      <c r="Q40">
        <v>77</v>
      </c>
      <c r="R40">
        <v>77</v>
      </c>
      <c r="AC40">
        <f>SUM(F40,H40,J40,L40,N40,P40,R40,T40,V40,X40,Z40,AB40)</f>
        <v>160</v>
      </c>
    </row>
    <row r="41">
      <c r="A41" t="str">
        <v>20092</v>
      </c>
      <c r="B41" t="str">
        <v>Malaria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1</v>
      </c>
      <c r="L41">
        <v>1</v>
      </c>
      <c r="M41">
        <v>0</v>
      </c>
      <c r="N41">
        <v>0</v>
      </c>
      <c r="O41">
        <v>3</v>
      </c>
      <c r="P41">
        <v>3</v>
      </c>
      <c r="Q41">
        <v>4</v>
      </c>
      <c r="R41">
        <v>4</v>
      </c>
      <c r="AC41">
        <f>SUM(F41,H41,J41,L41,N41,P41,R41,T41,V41,X41,Z41,AB41)</f>
        <v>10</v>
      </c>
    </row>
    <row r="42">
      <c r="A42" t="str">
        <v>30070</v>
      </c>
      <c r="B42" t="str">
        <v>Pregnancy test</v>
      </c>
      <c r="E42">
        <v>43</v>
      </c>
      <c r="F42">
        <v>43</v>
      </c>
      <c r="G42">
        <v>34</v>
      </c>
      <c r="H42">
        <v>34</v>
      </c>
      <c r="I42">
        <v>48</v>
      </c>
      <c r="J42">
        <v>48</v>
      </c>
      <c r="K42">
        <v>49</v>
      </c>
      <c r="L42">
        <v>49</v>
      </c>
      <c r="M42">
        <v>64</v>
      </c>
      <c r="N42">
        <v>64</v>
      </c>
      <c r="O42">
        <v>56</v>
      </c>
      <c r="P42">
        <v>56</v>
      </c>
      <c r="Q42">
        <v>34</v>
      </c>
      <c r="R42">
        <v>34</v>
      </c>
      <c r="AC42">
        <f>SUM(F42,H42,J42,L42,N42,P42,R42,T42,V42,X42,Z42,AB42)</f>
        <v>328</v>
      </c>
    </row>
    <row r="43">
      <c r="A43" t="str">
        <v>30106</v>
      </c>
      <c r="B43" t="str">
        <v>Dengue virus Ag NS1 (Rapid test)</v>
      </c>
      <c r="E43">
        <v>86</v>
      </c>
      <c r="F43">
        <v>86</v>
      </c>
      <c r="G43">
        <v>99</v>
      </c>
      <c r="H43">
        <v>99</v>
      </c>
      <c r="I43">
        <v>60</v>
      </c>
      <c r="J43">
        <v>60</v>
      </c>
      <c r="K43">
        <v>71</v>
      </c>
      <c r="L43">
        <v>71</v>
      </c>
      <c r="M43">
        <v>73</v>
      </c>
      <c r="N43">
        <v>73</v>
      </c>
      <c r="O43">
        <v>86</v>
      </c>
      <c r="P43">
        <v>86</v>
      </c>
      <c r="Q43">
        <v>48</v>
      </c>
      <c r="R43">
        <v>48</v>
      </c>
      <c r="AC43">
        <f>SUM(F43,H43,J43,L43,N43,P43,R43,T43,V43,X43,Z43,AB43)</f>
        <v>523</v>
      </c>
    </row>
    <row r="44">
      <c r="A44" t="str">
        <v>40012</v>
      </c>
      <c r="B44" t="str">
        <v>Urine Marijuana (จุลทรรศน์)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2</v>
      </c>
      <c r="P44">
        <v>2</v>
      </c>
      <c r="Q44">
        <v>4</v>
      </c>
      <c r="R44">
        <v>4</v>
      </c>
      <c r="AC44">
        <f>SUM(F44,H44,J44,L44,N44,P44,R44,T44,V44,X44,Z44,AB44)</f>
        <v>9</v>
      </c>
    </row>
    <row r="45">
      <c r="A45" t="str">
        <v>40013</v>
      </c>
      <c r="B45" t="str">
        <v>Urine Meth-amphetamine(จุลทรรศน์)</v>
      </c>
      <c r="E45">
        <v>2</v>
      </c>
      <c r="F45">
        <v>2</v>
      </c>
      <c r="G45">
        <v>2</v>
      </c>
      <c r="H45">
        <v>2</v>
      </c>
      <c r="I45">
        <v>0</v>
      </c>
      <c r="J45">
        <v>0</v>
      </c>
      <c r="K45">
        <v>1</v>
      </c>
      <c r="L45">
        <v>1</v>
      </c>
      <c r="M45">
        <v>2</v>
      </c>
      <c r="N45">
        <v>2</v>
      </c>
      <c r="O45">
        <v>1</v>
      </c>
      <c r="P45">
        <v>1</v>
      </c>
      <c r="Q45">
        <v>4</v>
      </c>
      <c r="R45">
        <v>4</v>
      </c>
      <c r="AC45">
        <f>SUM(F45,H45,J45,L45,N45,P45,R45,T45,V45,X45,Z45,AB45)</f>
        <v>12</v>
      </c>
    </row>
    <row r="46">
      <c r="A46" t="str">
        <v>40014</v>
      </c>
      <c r="B46" t="str">
        <v>Urine morphine(จุลทรรศน์)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AC46">
        <f>SUM(F46,H46,J46,L46,N46,P46,R46,T46,V46,X46,Z46,AB46)</f>
        <v>1</v>
      </c>
    </row>
    <row r="47">
      <c r="A47" t="str">
        <v>40190</v>
      </c>
      <c r="B47" t="str">
        <v>Fecal occult blood</v>
      </c>
      <c r="E47">
        <v>12</v>
      </c>
      <c r="F47">
        <v>12</v>
      </c>
      <c r="G47">
        <v>6</v>
      </c>
      <c r="H47">
        <v>6</v>
      </c>
      <c r="I47">
        <v>12</v>
      </c>
      <c r="J47">
        <v>12</v>
      </c>
      <c r="K47">
        <v>8</v>
      </c>
      <c r="L47">
        <v>8</v>
      </c>
      <c r="M47">
        <v>24</v>
      </c>
      <c r="N47">
        <v>24</v>
      </c>
      <c r="O47">
        <v>14</v>
      </c>
      <c r="P47">
        <v>14</v>
      </c>
      <c r="Q47">
        <v>14</v>
      </c>
      <c r="R47">
        <v>14</v>
      </c>
      <c r="AC47">
        <f>SUM(F47,H47,J47,L47,N47,P47,R47,T47,V47,X47,Z47,AB47)</f>
        <v>90</v>
      </c>
    </row>
    <row r="48">
      <c r="A48" t="str">
        <v>40231</v>
      </c>
      <c r="B48" t="str">
        <v>pH ( เดี่ยวห้องจุลทรรศน์ )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AC48">
        <f>SUM(F48,H48,J48,L48,N48,P48,R48,T48,V48,X48,Z48,AB48)</f>
        <v>0</v>
      </c>
    </row>
    <row r="49">
      <c r="A49" t="str">
        <v>50077</v>
      </c>
      <c r="B49" t="str">
        <v>AFB Day 1 (ศสม เท่านั้น)</v>
      </c>
      <c r="E49">
        <v>32</v>
      </c>
      <c r="F49">
        <v>32</v>
      </c>
      <c r="G49">
        <v>28</v>
      </c>
      <c r="H49">
        <v>28</v>
      </c>
      <c r="I49">
        <v>28</v>
      </c>
      <c r="J49">
        <v>28</v>
      </c>
      <c r="K49">
        <v>34</v>
      </c>
      <c r="L49">
        <v>34</v>
      </c>
      <c r="M49">
        <v>27</v>
      </c>
      <c r="N49">
        <v>27</v>
      </c>
      <c r="O49">
        <v>31</v>
      </c>
      <c r="P49">
        <v>31</v>
      </c>
      <c r="Q49">
        <v>3</v>
      </c>
      <c r="R49">
        <v>3</v>
      </c>
      <c r="AC49">
        <f>SUM(F49,H49,J49,L49,N49,P49,R49,T49,V49,X49,Z49,AB49)</f>
        <v>183</v>
      </c>
    </row>
    <row r="50">
      <c r="A50" t="str">
        <v>50078</v>
      </c>
      <c r="B50" t="str">
        <v>AFB Day 2 (ศสม เท่านั้น)</v>
      </c>
      <c r="E50">
        <v>30</v>
      </c>
      <c r="F50">
        <v>30</v>
      </c>
      <c r="G50">
        <v>24</v>
      </c>
      <c r="H50">
        <v>24</v>
      </c>
      <c r="I50">
        <v>27</v>
      </c>
      <c r="J50">
        <v>27</v>
      </c>
      <c r="K50">
        <v>31</v>
      </c>
      <c r="L50">
        <v>31</v>
      </c>
      <c r="M50">
        <v>25</v>
      </c>
      <c r="N50">
        <v>25</v>
      </c>
      <c r="O50">
        <v>27</v>
      </c>
      <c r="P50">
        <v>27</v>
      </c>
      <c r="Q50">
        <v>3</v>
      </c>
      <c r="R50">
        <v>3</v>
      </c>
      <c r="AC50">
        <f>SUM(F50,H50,J50,L50,N50,P50,R50,T50,V50,X50,Z50,AB50)</f>
        <v>167</v>
      </c>
    </row>
    <row r="51">
      <c r="A51" t="str">
        <v>50079</v>
      </c>
      <c r="B51" t="str">
        <v>Gram stain (ศสม เท่านั้น)</v>
      </c>
      <c r="E51">
        <v>2</v>
      </c>
      <c r="F51">
        <v>2</v>
      </c>
      <c r="I51">
        <v>1</v>
      </c>
      <c r="J51">
        <v>1</v>
      </c>
      <c r="O51">
        <v>1</v>
      </c>
      <c r="P51">
        <v>1</v>
      </c>
      <c r="Q51">
        <v>1</v>
      </c>
      <c r="R51">
        <v>1</v>
      </c>
      <c r="AC51">
        <f>SUM(F51,H51,J51,L51,N51,P51,R51,T51,V51,X51,Z51,AB51)</f>
        <v>5</v>
      </c>
    </row>
    <row r="52">
      <c r="A52" t="str">
        <v>50080</v>
      </c>
      <c r="B52" t="str">
        <v>KOH preparation (ศสม เท่านั้น)</v>
      </c>
      <c r="G52">
        <v>2</v>
      </c>
      <c r="H52">
        <v>2</v>
      </c>
      <c r="I52">
        <v>1</v>
      </c>
      <c r="J52">
        <v>1</v>
      </c>
      <c r="K52">
        <v>1</v>
      </c>
      <c r="L52">
        <v>1</v>
      </c>
      <c r="O52">
        <v>2</v>
      </c>
      <c r="P52">
        <v>2</v>
      </c>
      <c r="AC52">
        <f>SUM(F52,H52,J52,L52,N52,P52,R52,T52,V52,X52,Z52,AB52)</f>
        <v>6</v>
      </c>
    </row>
    <row r="53">
      <c r="B53" t="str">
        <v>จำนวนส่งต่อฝั่ง รพ.ชลบุรี</v>
      </c>
    </row>
    <row r="54">
      <c r="B54" t="str">
        <v>จำนวนผู้มารับบริการ ศสม.เมือง</v>
      </c>
      <c r="E54">
        <v>2760</v>
      </c>
      <c r="F54">
        <v>2760</v>
      </c>
      <c r="G54">
        <v>2801</v>
      </c>
      <c r="H54">
        <v>2801</v>
      </c>
      <c r="I54">
        <v>2834</v>
      </c>
      <c r="J54">
        <v>2834</v>
      </c>
      <c r="K54">
        <v>2830</v>
      </c>
      <c r="L54">
        <v>2830</v>
      </c>
      <c r="M54">
        <v>2791</v>
      </c>
      <c r="N54">
        <v>2791</v>
      </c>
      <c r="O54">
        <v>2670</v>
      </c>
      <c r="P54">
        <v>2670</v>
      </c>
      <c r="Q54">
        <v>3142</v>
      </c>
      <c r="R54">
        <v>3142</v>
      </c>
    </row>
    <row r="56">
      <c r="A56" t="str">
        <v>Total</v>
      </c>
      <c r="F56">
        <f>SUM(F3:F52)</f>
        <v>26605</v>
      </c>
      <c r="H56">
        <f>SUM(H3:H52)</f>
        <v>27424</v>
      </c>
      <c r="J56">
        <f>SUM(J3:J52)</f>
        <v>29021</v>
      </c>
      <c r="L56">
        <f>SUM(L3:L52)</f>
        <v>29040</v>
      </c>
      <c r="N56">
        <f>SUM(N3:N52)</f>
        <v>26110</v>
      </c>
      <c r="P56">
        <f>SUM(P3:P52)</f>
        <v>19946</v>
      </c>
      <c r="R56">
        <f>SUM(R3:R52)</f>
        <v>20732</v>
      </c>
      <c r="T56">
        <f>SUM(T3:T52)</f>
        <v>0</v>
      </c>
      <c r="V56">
        <f>SUM(V3:V52)</f>
        <v>0</v>
      </c>
      <c r="X56">
        <f>SUM(X3:X52)</f>
        <v>0</v>
      </c>
      <c r="Z56">
        <f>SUM(Z3:Z52)</f>
        <v>0</v>
      </c>
      <c r="AB56">
        <f>SUM(AB3:AB52)</f>
        <v>0</v>
      </c>
      <c r="AC56">
        <f>SUM(AC3:AC52)</f>
        <v>178878</v>
      </c>
    </row>
    <row r="57">
      <c r="B57" t="str">
        <v>CBC well baby</v>
      </c>
    </row>
  </sheetData>
  <mergeCells count="18">
    <mergeCell ref="AC1:AC2"/>
    <mergeCell ref="K1:L1"/>
    <mergeCell ref="M1:N1"/>
    <mergeCell ref="O1:P1"/>
    <mergeCell ref="Q1:R1"/>
    <mergeCell ref="S1:T1"/>
    <mergeCell ref="U1:V1"/>
    <mergeCell ref="W1:X1"/>
    <mergeCell ref="G1:H1"/>
    <mergeCell ref="I1:J1"/>
    <mergeCell ref="A56:D56"/>
    <mergeCell ref="Y1:Z1"/>
    <mergeCell ref="AA1:AB1"/>
    <mergeCell ref="A1:A2"/>
    <mergeCell ref="B1:B2"/>
    <mergeCell ref="C1:C2"/>
    <mergeCell ref="D1:D2"/>
    <mergeCell ref="E1:F1"/>
  </mergeCells>
  <pageMargins left="0.7" right="0.7" top="0.75" bottom="0.75" header="0.3" footer="0.3"/>
  <ignoredErrors>
    <ignoredError numberStoredAsText="1" sqref="A1:AE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เคมีคลินิก</vt:lpstr>
      <vt:lpstr>ภูมิคุ้มกันวิทยา</vt:lpstr>
      <vt:lpstr>โลหิตวิทยา</vt:lpstr>
      <vt:lpstr>จุลทรรศน์วิทยาคลินิก</vt:lpstr>
      <vt:lpstr>จุลชีววิทยา</vt:lpstr>
      <vt:lpstr>อณูพันธุศาสตร์</vt:lpstr>
      <vt:lpstr>ธนาคารเลือด</vt:lpstr>
      <vt:lpstr>ตรวจพิเศษและปฏิบัติการตรวจต่อ</vt:lpstr>
      <vt:lpstr>ศสม.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2026-05-26T13:11:23Z</dcterms:created>
  <dcterms:modified xsi:type="dcterms:W3CDTF">2026-05-26T13:11:23Z</dcterms:modified>
  <cp:lastModifiedBy>Siriwat J.</cp:lastModifiedBy>
  <dc:creator>Nics SJ</dc:creator>
</cp:coreProperties>
</file>