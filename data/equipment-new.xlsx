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สรุปผลสอบเทียบ" sheetId="1" r:id="rId5"/>
    <sheet state="visible" name="รวมงาน (2)" sheetId="2" r:id="rId6"/>
  </sheets>
  <definedNames>
    <definedName hidden="1" localSheetId="1" name="_xlnm._FilterDatabase">'รวมงาน (2)'!$A$2:$BA$449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2">
      <text>
        <t xml:space="preserve">user:
โอกาสพัฒนาข้อที่ 3.3 จัดทำแผนบำรุงรักษาเชิงป้องกัน มีบันทึกดำเนินตามแผน</t>
      </text>
    </comment>
    <comment authorId="0" ref="D79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D80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D87">
      <text>
        <t xml:space="preserve">user:
โอกาสพัฒนาข้อที่ 3.1 Centrifuge สำหรับปั่น CSF</t>
      </text>
    </comment>
    <comment authorId="0" ref="D93">
      <text>
        <t xml:space="preserve">user:
โอกาสพัฒนาข้อที่ 3.2.2 Centrifuge ปั่น coagulation ทบทวนค่าคลาดเคลื่อนที่ยอมรับได้</t>
      </text>
    </comment>
    <comment authorId="0" ref="D370">
      <text>
        <t xml:space="preserve">user:
โอกาสพัฒนาข้อที่ 3.2.3 ตู้เก็บเกล็ดเลือด สอบเทียบความเร็วรอบการเขย่า</t>
      </text>
    </comment>
  </commentList>
</comments>
</file>

<file path=xl/sharedStrings.xml><?xml version="1.0" encoding="utf-8"?>
<sst xmlns="http://schemas.openxmlformats.org/spreadsheetml/2006/main" count="11924" uniqueCount="1620">
  <si>
    <t>สรุปแผนการสอบเทียบ</t>
  </si>
  <si>
    <t>จำนวนเครื่องมือที่มีในปี2562</t>
  </si>
  <si>
    <t>แผนสอบเทียบปี2562
(เครื่อง)</t>
  </si>
  <si>
    <t>สอบเทียบจริง ปี2562</t>
  </si>
  <si>
    <t>จำนวนเครื่องมือที่มีในปีปี2563</t>
  </si>
  <si>
    <t>แผนสอบเทียบปี2563
(เครื่อง)</t>
  </si>
  <si>
    <t>สอบเทียบจริง ปี2563</t>
  </si>
  <si>
    <t>จำนวนเครื่องมือที่มีปี2564</t>
  </si>
  <si>
    <t>แผนสอบเทียบปี64
(เครื่อง)</t>
  </si>
  <si>
    <t>สอบเทียบจริง ปี2564</t>
  </si>
  <si>
    <t>จำนวนเครื่องมือที่มีปี2565</t>
  </si>
  <si>
    <t>แผนสอบเทียบปี65
(เครื่อง)</t>
  </si>
  <si>
    <t>สอบเทียบจริง ปี2565</t>
  </si>
  <si>
    <t>จำนวนเครื่องมือที่มีปี2566</t>
  </si>
  <si>
    <t>แผนสอบเทียบปี66
(เครื่อง)</t>
  </si>
  <si>
    <t>สอบเทียบจริง ปี2566</t>
  </si>
  <si>
    <t>ราคา</t>
  </si>
  <si>
    <t>งบประมาณที่ใช้</t>
  </si>
  <si>
    <t xml:space="preserve"> 1.โครงการสอบเทียบตู้ปลอดเชื้อ(biosafety cabinet) </t>
  </si>
  <si>
    <t>ไม่ได้สอบเทียบ</t>
  </si>
  <si>
    <t>2.โครงการสอบเทียบเครื่องมือทางห้องปฏิบัติการเทคนิคการแพทย์ตามมาตรฐาน ISO 15189 (13 รายการ)</t>
  </si>
  <si>
    <t>1. เครื่องนึ่งฆ่าเชื้อ (Autoclave) : อุณหภูมิ ความดัน เวลา</t>
  </si>
  <si>
    <t>2.เครื่องปั่นตกตะกอน(Centrifuge) : ความเร็วรอบ เวลา</t>
  </si>
  <si>
    <t>3.เครื่องปั่นเม็ดเลือด(Hematocrit) : ความเร็วรอบ</t>
  </si>
  <si>
    <t>4.เครื่องเขย่าสาร(Rotator Shaker) : ความเร็วรอบ</t>
  </si>
  <si>
    <t>5.อ่างน้ำควบคุม(Water bath) : อุณหภูมิ เวลา</t>
  </si>
  <si>
    <t>6.ตู้เพาะเชื้อ(Incubator) : อุณหภูมิ</t>
  </si>
  <si>
    <t>7.เครื่องชั่งสาร(Weight Analytical Balance) : น้ำหนัก</t>
  </si>
  <si>
    <t>8.ตู้เย็นเก็บส่วนประกอบเลือด : อุณหภูมิ 2-6, 22 องศา</t>
  </si>
  <si>
    <t>9.ตู้เย็นเก็บน้ำยา2ประตู :  อุณหภูมิ 2-8, (-20) องศา</t>
  </si>
  <si>
    <t>10.เครื่อง Digital Thermometer : อุณหภูมิ 2-8, (-20), 25, 37 องศา</t>
  </si>
  <si>
    <t>11.เครื่องวัดอุณหภูมิและความชื้น(Themometer-Hygometer)  : อุณหภูมิ 2-8, (-20), 25, 37 องศา, ความชื้น</t>
  </si>
  <si>
    <t>12.ตัวดูดจ่ายสารละลาย(Autopipette) : ปริมาตร</t>
  </si>
  <si>
    <t>13.เครื่องปรับอุณหภูมิ(Dry bath ,Tube warmer,Heating block) : อุณหภูมิ 37 องศา</t>
  </si>
  <si>
    <t>14.เครื่องบ่มเกร็ดเลือด (platelet incubator) : อุณหภูมิ ความเร็วรอบ</t>
  </si>
  <si>
    <t xml:space="preserve">3.โครงการตรวจสอบและบำรุงรักษาเครื่องตรวจวิเคราะห์ Osmometer </t>
  </si>
  <si>
    <t>4.โครงการตรวจสอบและบำรุงรักษาเครื่องตรวจวิเคราะห์ Microbilirubin meter</t>
  </si>
  <si>
    <t>5.โครงการตรวจสอบและบำรุงรักษา กล้องจุลทรรศน์</t>
  </si>
  <si>
    <t>6.โครงการตรวจสอบและบำรุงรักษา ระบบบันทึกอุณหภูมิอัตโนมัติ</t>
  </si>
  <si>
    <t>ทะเบียนเครื่องมือแพทย์ กลุ่มงานเทคนิคการแพทย์ โรงพยาบาลชลบุรี  ปี 2569</t>
  </si>
  <si>
    <t>แผน  PM / CAL เครื่องมือแพทย์ ห้องปฏิบัติการ ศสม. เมืองชลบุรี โรงพยาบาลชลบุรี  ปี 2569</t>
  </si>
  <si>
    <t>ผล  PM / CAL เครื่องมือแพทย์ กลุ่มงานห้องปฏิบัติการ โรงพยาบาลชลบุรี  ปี 2569</t>
  </si>
  <si>
    <t>Status</t>
  </si>
  <si>
    <t>ต้องการสอบเทียบ+PM
ปี2569
หรือไม่</t>
  </si>
  <si>
    <t>เจ้าของ</t>
  </si>
  <si>
    <t>Items</t>
  </si>
  <si>
    <t>Department</t>
  </si>
  <si>
    <t>Hospital Asset No.</t>
  </si>
  <si>
    <t>Risk</t>
  </si>
  <si>
    <t>CBH Code</t>
  </si>
  <si>
    <t>CLASSIFICATION</t>
  </si>
  <si>
    <t>Equipment Type</t>
  </si>
  <si>
    <t>Manufacturer</t>
  </si>
  <si>
    <t>Model</t>
  </si>
  <si>
    <t>Serial Number</t>
  </si>
  <si>
    <t>Equipment Vendor</t>
  </si>
  <si>
    <t>TECH. GROUP      (PM /CAL by…..)</t>
  </si>
  <si>
    <t>TIME/YEAR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</si>
  <si>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</si>
  <si>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</si>
  <si>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</si>
  <si>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</si>
  <si>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</si>
  <si>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</si>
  <si>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</si>
  <si>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</si>
  <si>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</si>
  <si>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</si>
  <si>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</si>
  <si>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</si>
  <si>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Remark</t>
  </si>
  <si>
    <t>วันที่ทำการบำรุงรักษา  (PM)</t>
  </si>
  <si>
    <t>วันที่ทำการสอบเทียบ (CAL)</t>
  </si>
  <si>
    <t>หมดอายุ (วันที่ทำการสอบเทียบครั้งต่อไป)</t>
  </si>
  <si>
    <t>เลขที่ใบ certificate No.</t>
  </si>
  <si>
    <t>ค่าError</t>
  </si>
  <si>
    <t>ค่าUncertainty</t>
  </si>
  <si>
    <t>Error+Uncertainty</t>
  </si>
  <si>
    <t>ผลสอบเทียบ</t>
  </si>
  <si>
    <t>Today</t>
  </si>
  <si>
    <t>ลิงค์รูป</t>
  </si>
  <si>
    <t>ถูกต้องแล้ว</t>
  </si>
  <si>
    <t>ต้องการ</t>
  </si>
  <si>
    <t>รพ</t>
  </si>
  <si>
    <t>คลังเลือด</t>
  </si>
  <si>
    <t>6530-007-0012/006/60</t>
  </si>
  <si>
    <t>Medium</t>
  </si>
  <si>
    <t>CBH7394</t>
  </si>
  <si>
    <t>Misc other</t>
  </si>
  <si>
    <t xml:space="preserve"> เครื่องชั่งน้ำหนักและคำนวณปริมาตร 1 (CENTRIFUGE BUCKET EQUALIZER)</t>
  </si>
  <si>
    <t>RIMI</t>
  </si>
  <si>
    <t>CBZ-50Plus</t>
  </si>
  <si>
    <t>ZCGB-19234</t>
  </si>
  <si>
    <t>TERUMO</t>
  </si>
  <si>
    <t>Out sourse ( ISO 17025)</t>
  </si>
  <si>
    <t>13/06/2567</t>
  </si>
  <si>
    <t>#Value!</t>
  </si>
  <si>
    <t>DC_01/24/1531</t>
  </si>
  <si>
    <t>-</t>
  </si>
  <si>
    <t>PASS</t>
  </si>
  <si>
    <t>6530-008-0012/006/60</t>
  </si>
  <si>
    <t>CBH7395</t>
  </si>
  <si>
    <t xml:space="preserve"> เครื่องชั่งน้ำหนักและคำนวณปริมาตร 2 (CENTRIFUGE BUCKET EQUALIZER)</t>
  </si>
  <si>
    <t>CBZ-50 Plus</t>
  </si>
  <si>
    <t>ZCGB-19232</t>
  </si>
  <si>
    <t>DC_01/24/1530</t>
  </si>
  <si>
    <t>มาใหม่</t>
  </si>
  <si>
    <t>ไม่ต้องการ</t>
  </si>
  <si>
    <t>จุลชีววิทยา</t>
  </si>
  <si>
    <t>AFB auto stainer</t>
  </si>
  <si>
    <t>Dagatron</t>
  </si>
  <si>
    <t>AT-2000F</t>
  </si>
  <si>
    <t>F2410031</t>
  </si>
  <si>
    <t>No cal</t>
  </si>
  <si>
    <t>ย้าย</t>
  </si>
  <si>
    <t xml:space="preserve"> </t>
  </si>
  <si>
    <t>โลหิตวิทยา</t>
  </si>
  <si>
    <t>CBH3238</t>
  </si>
  <si>
    <t>Diagnostic</t>
  </si>
  <si>
    <t>ANALYZER, LABORATORY, HEMATOLOGY  (เครื่อง Automate ใช้ดู slid CBC)</t>
  </si>
  <si>
    <t>CELLAVISION</t>
  </si>
  <si>
    <t>DM96</t>
  </si>
  <si>
    <t>Meditop</t>
  </si>
  <si>
    <t>Vender</t>
  </si>
  <si>
    <t>PM by vender</t>
  </si>
  <si>
    <t>(ดูหน้างาน)</t>
  </si>
  <si>
    <t>ANALYZER, LABORATORY, HEMATOLOGY, MC-80  (เครื่อง Automate ใช้ดู slide CBC)</t>
  </si>
  <si>
    <t>Mindray</t>
  </si>
  <si>
    <t>MC-80</t>
  </si>
  <si>
    <t>DC8-4B001033</t>
  </si>
  <si>
    <t>DC8-4B001037</t>
  </si>
  <si>
    <t>เคมีคลินิก</t>
  </si>
  <si>
    <t>6515-004-0001/4/56</t>
  </si>
  <si>
    <t>CBH3487</t>
  </si>
  <si>
    <t>ANALYZER, POINT-OF-CARE, Microbilirubin meter</t>
  </si>
  <si>
    <t>Microbilirubin meter</t>
  </si>
  <si>
    <t>NEO-BIL Plus</t>
  </si>
  <si>
    <t>บ.ซีนิธ ซายน์ จำกัด</t>
  </si>
  <si>
    <t>Out sourse (ซื้อ maintanance จาก  Vender)</t>
  </si>
  <si>
    <t>มาจากงานผู้ป่วยนอก</t>
  </si>
  <si>
    <t>615-004-0001/6/59</t>
  </si>
  <si>
    <t>CBH7656</t>
  </si>
  <si>
    <t>Neo-bil Plus</t>
  </si>
  <si>
    <t>6515-047-0001/1/36</t>
  </si>
  <si>
    <t>CBH3367</t>
  </si>
  <si>
    <t>BATH, WATER  ขนาด 24 ลิตร</t>
  </si>
  <si>
    <t>MEMMERT</t>
  </si>
  <si>
    <t>W760</t>
  </si>
  <si>
    <t>บ.ยูไนเต็ด อิรทรูเมนท์  จำกัด</t>
  </si>
  <si>
    <t>DC_01/24/1523</t>
  </si>
  <si>
    <t>min = 37.08 C, max = 37.14 C</t>
  </si>
  <si>
    <t>0.85 ๐ C</t>
  </si>
  <si>
    <t>min = 36.23 C, max = 37.99 C</t>
  </si>
  <si>
    <t>ภูมิคุ้มกันวิทยา</t>
  </si>
  <si>
    <t>6515-047-0001/2/36</t>
  </si>
  <si>
    <t>CBH3265</t>
  </si>
  <si>
    <t>BATH, WATER  ขนาด....... ลิตร</t>
  </si>
  <si>
    <t>W350</t>
  </si>
  <si>
    <t>DC_01/24/1522</t>
  </si>
  <si>
    <t>0.65  ๐ C</t>
  </si>
  <si>
    <t>6515-005-0003/1/49</t>
  </si>
  <si>
    <t>Low</t>
  </si>
  <si>
    <t>CBH2797</t>
  </si>
  <si>
    <t xml:space="preserve">BLOOD CELL PROCESSOR  (อุปกรณ์นับแยก cell) </t>
  </si>
  <si>
    <t>KK</t>
  </si>
  <si>
    <t>DBC-8E</t>
  </si>
  <si>
    <t>n/a</t>
  </si>
  <si>
    <t>ช่างเครื่องมมือแทย์ (ตรวจสอบทางกายภาพ)</t>
  </si>
  <si>
    <t>6515-005-0003/9/54</t>
  </si>
  <si>
    <t>CBH3223</t>
  </si>
  <si>
    <t>SYSMEX</t>
  </si>
  <si>
    <t>DC-10</t>
  </si>
  <si>
    <t>PCL</t>
  </si>
  <si>
    <t>Muang Chonburi</t>
  </si>
  <si>
    <t>6515-005-0003/7/43</t>
  </si>
  <si>
    <t>DIGI COUNT</t>
  </si>
  <si>
    <t>สูญหาย</t>
  </si>
  <si>
    <t>6515-005-0003/3/50</t>
  </si>
  <si>
    <t>CBH6099</t>
  </si>
  <si>
    <t>6515-038-5013-13/59</t>
  </si>
  <si>
    <t>CBH6963</t>
  </si>
  <si>
    <t>BLOOD WARMING UNIT  (เครื่องละลาย plasma แช่เข็ง)</t>
  </si>
  <si>
    <t>BARKEY</t>
  </si>
  <si>
    <t>PLASMATHERM</t>
  </si>
  <si>
    <t>D mark</t>
  </si>
  <si>
    <t>6515-038-5013/2/55</t>
  </si>
  <si>
    <t>CBH3366</t>
  </si>
  <si>
    <t>6515-038-5013/0004/60</t>
  </si>
  <si>
    <t>CBH7396</t>
  </si>
  <si>
    <t>7-227/35</t>
  </si>
  <si>
    <t>CBH3359</t>
  </si>
  <si>
    <t>CENTRIFUGE (เครื่องปั่นแยกสิ่งส่งตรวจ)</t>
  </si>
  <si>
    <t>KOKUSAN</t>
  </si>
  <si>
    <t xml:space="preserve">H-103N </t>
  </si>
  <si>
    <t>Euroscan</t>
  </si>
  <si>
    <t>5/540/34</t>
  </si>
  <si>
    <t>CBH3329</t>
  </si>
  <si>
    <t>H-18</t>
  </si>
  <si>
    <t>6515-006-0002/50/55</t>
  </si>
  <si>
    <t>CBH3381</t>
  </si>
  <si>
    <t>CENTRIFUGE (เครื่องปั่นเลือด/อ่านผล Cross match 1 )</t>
  </si>
  <si>
    <t>HETTICH</t>
  </si>
  <si>
    <t>EBA 21</t>
  </si>
  <si>
    <t>0005410-04-00</t>
  </si>
  <si>
    <t>D-mark</t>
  </si>
  <si>
    <t>DC_01/24/1551</t>
  </si>
  <si>
    <t>Vendor</t>
  </si>
  <si>
    <t>ไม่มี</t>
  </si>
  <si>
    <t>ANALYZER, LABORATORY, BLOOD GAS/PH, Electrolyte</t>
  </si>
  <si>
    <t>NOVA BIOMEDICAL</t>
  </si>
  <si>
    <t>NOVA Prime</t>
  </si>
  <si>
    <t>P077210520C</t>
  </si>
  <si>
    <t>บ.Meditop</t>
  </si>
  <si>
    <t>Prime (L)</t>
  </si>
  <si>
    <t>(ดูเอกสารหน้างาน)</t>
  </si>
  <si>
    <t>P077210890C</t>
  </si>
  <si>
    <t>Prime (M)</t>
  </si>
  <si>
    <t>P079220070C</t>
  </si>
  <si>
    <t>Prime (R)</t>
  </si>
  <si>
    <t>ANALYZER, LABORATORY, CHEMISTRY</t>
  </si>
  <si>
    <t>HITACHI</t>
  </si>
  <si>
    <t>COBAS 6000</t>
  </si>
  <si>
    <t>1089-08</t>
  </si>
  <si>
    <t>บ.โรซ ไดแอกโนสติกส์</t>
  </si>
  <si>
    <t>CORE UNIT C3,E</t>
  </si>
  <si>
    <t>1089-09</t>
  </si>
  <si>
    <t>CORE UNIT C1,C2</t>
  </si>
  <si>
    <t>COBAS Pro c503</t>
  </si>
  <si>
    <t>C1</t>
  </si>
  <si>
    <t>C2</t>
  </si>
  <si>
    <t>C3</t>
  </si>
  <si>
    <t>SAMPLERS, LABORATORY, AUTOMATE (Cobas 8100)</t>
  </si>
  <si>
    <t>MODULAR 8100</t>
  </si>
  <si>
    <t>20CO-01</t>
  </si>
  <si>
    <t>Cobas 8100</t>
  </si>
  <si>
    <t>ANALYZER, LABORATORY, Troponin-T/ NT-proBNP</t>
  </si>
  <si>
    <t>COBAS e 801</t>
  </si>
  <si>
    <t>E 801</t>
  </si>
  <si>
    <t>CBH3252</t>
  </si>
  <si>
    <t>ANALYZER, LABORATORY, IMMUNOASSAY</t>
  </si>
  <si>
    <t>ARCHITECT</t>
  </si>
  <si>
    <t>I2000SR</t>
  </si>
  <si>
    <t>iSR 04978</t>
  </si>
  <si>
    <t>บ.แอ๊บบอต</t>
  </si>
  <si>
    <t>Alinity</t>
  </si>
  <si>
    <t>Alinity ci</t>
  </si>
  <si>
    <t>Ai03775</t>
  </si>
  <si>
    <t>ANALYZER, LABORATORY, OSMOMETER</t>
  </si>
  <si>
    <t>ARKRAY</t>
  </si>
  <si>
    <t>OM-6060</t>
  </si>
  <si>
    <t>บ.ไอดีไอ(ประเทศไทย)</t>
  </si>
  <si>
    <t>OSMOMETER</t>
  </si>
  <si>
    <t>6515-006-0002/52/56</t>
  </si>
  <si>
    <t>CBH3385</t>
  </si>
  <si>
    <t>CENTRIFUGE (เครื่องปั่นเลือด/อ่านผล Cross match 2 )</t>
  </si>
  <si>
    <t>0000118-01-00</t>
  </si>
  <si>
    <t>DC_01/24/1554</t>
  </si>
  <si>
    <t>6515-006-0002/53/56</t>
  </si>
  <si>
    <t>CBH3388</t>
  </si>
  <si>
    <t>CENTRIFUGE (เครื่องปั่นเลือด/อ่านผล Cross match 3 )</t>
  </si>
  <si>
    <t>0000116-01-00</t>
  </si>
  <si>
    <t>DC_01/24/1552</t>
  </si>
  <si>
    <t>6515-006-0002/37/53</t>
  </si>
  <si>
    <t>CBH3369</t>
  </si>
  <si>
    <t>CENTRIFUGE (เครื่องปั่นเลือด/อ่านผล Cross match 4 )</t>
  </si>
  <si>
    <t>DIAMED</t>
  </si>
  <si>
    <t>DIACENT-12</t>
  </si>
  <si>
    <t>Diamed</t>
  </si>
  <si>
    <t>6515-006-0002/51/56</t>
  </si>
  <si>
    <t>CBH3382</t>
  </si>
  <si>
    <t>CENTRIFUGE (เครื่องปั่นเลือด/อ่านผล Cross match 5 )</t>
  </si>
  <si>
    <t>0000115-01-00</t>
  </si>
  <si>
    <t>6515-014-1012/3/49</t>
  </si>
  <si>
    <t>CBH3368</t>
  </si>
  <si>
    <t>CENTRIFUGE (เครื่องปั่นเลือด/อ่านผล Cross match 6 )</t>
  </si>
  <si>
    <t>6565-006-0002/66/59</t>
  </si>
  <si>
    <t>CBH6964</t>
  </si>
  <si>
    <t>CENTRIFUGE (เครื่องปั่นเลือด/อ่านผล Cross match 7 )</t>
  </si>
  <si>
    <t>EBA280</t>
  </si>
  <si>
    <t>0000523-02</t>
  </si>
  <si>
    <t>DC_01/24/1553</t>
  </si>
  <si>
    <t>6515-006-0002/65/59</t>
  </si>
  <si>
    <t>CBH6965</t>
  </si>
  <si>
    <t xml:space="preserve">CENTRIFUGE (เครื่องปั่นเลือด/อ่านผล Cross match 8 ) </t>
  </si>
  <si>
    <t>0000522-02</t>
  </si>
  <si>
    <t>DC_04/23/0796</t>
  </si>
  <si>
    <t>6515-014-0005/001/65</t>
  </si>
  <si>
    <t>CENTRIFUGE (ปั่นอ่านผลเลือด)</t>
  </si>
  <si>
    <t>H-19alpha</t>
  </si>
  <si>
    <t>DC_01/24/1546</t>
  </si>
  <si>
    <t>6515-014-0002/1/37</t>
  </si>
  <si>
    <t>CBH3361</t>
  </si>
  <si>
    <t>SERO-FUGL</t>
  </si>
  <si>
    <t>6515-006-0002/38/53</t>
  </si>
  <si>
    <t>CBH3379</t>
  </si>
  <si>
    <t>6515-014-0002/3/44</t>
  </si>
  <si>
    <t>CBH3356</t>
  </si>
  <si>
    <t>CBH3360</t>
  </si>
  <si>
    <t>ADAMS SERO-FUGE</t>
  </si>
  <si>
    <t>L-1314-A</t>
  </si>
  <si>
    <t>6515-006-0003/1/52</t>
  </si>
  <si>
    <t>CBH3350</t>
  </si>
  <si>
    <t>CENTRIFUGE, FLOOR (ปั่นแยกส่วนประกอบของเลือด 1 )</t>
  </si>
  <si>
    <t>SORVALL</t>
  </si>
  <si>
    <t>RC 3BP+</t>
  </si>
  <si>
    <t>NYR</t>
  </si>
  <si>
    <t>DC_01/24/1549</t>
  </si>
  <si>
    <t>6515-006-0003/3/56</t>
  </si>
  <si>
    <t>CBH3353</t>
  </si>
  <si>
    <t>CENTRIFUGE, FLOOR(ปั่นแยกส่วนประกอบของเลือด 2 )</t>
  </si>
  <si>
    <t>Thermo scientific</t>
  </si>
  <si>
    <t>SORVALL RC 3BP+</t>
  </si>
  <si>
    <t>DC_04/23/0790</t>
  </si>
  <si>
    <t>6515-006-003/5/58</t>
  </si>
  <si>
    <t>CBH6527</t>
  </si>
  <si>
    <t>CENTRIFUGE, FLOOR(ปั่นแยกส่วนประกอบของเลือด 3 )</t>
  </si>
  <si>
    <t xml:space="preserve"> RC 3BP+</t>
  </si>
  <si>
    <t>DC_01/24/1550</t>
  </si>
  <si>
    <t>6515-014-2024/16/12</t>
  </si>
  <si>
    <t>CENTRIFUGE, TABLETOP</t>
  </si>
  <si>
    <t>H-19F</t>
  </si>
  <si>
    <t>Euro scan</t>
  </si>
  <si>
    <t>DC_04/23/0784</t>
  </si>
  <si>
    <t>6515-014-2028/3/51</t>
  </si>
  <si>
    <t>BOECO Germany</t>
  </si>
  <si>
    <t>C-28A</t>
  </si>
  <si>
    <t>6515-006-0003/6/59</t>
  </si>
  <si>
    <t>HERMEL</t>
  </si>
  <si>
    <t>Z 326 K</t>
  </si>
  <si>
    <t>6515-006-0002/47/55</t>
  </si>
  <si>
    <t>H-19FMR</t>
  </si>
  <si>
    <t>6515-014-2024/15/53</t>
  </si>
  <si>
    <t>DC_01/24/1548</t>
  </si>
  <si>
    <t>CBH7266</t>
  </si>
  <si>
    <t>HERMLE</t>
  </si>
  <si>
    <t>DC_01/24/1543</t>
  </si>
  <si>
    <t>อณูชีววิทยา</t>
  </si>
  <si>
    <t>6515-014-2024/7/50</t>
  </si>
  <si>
    <t>CBH3235</t>
  </si>
  <si>
    <t>EUROSCAN</t>
  </si>
  <si>
    <t>จุลทรรศน์</t>
  </si>
  <si>
    <t>6515-014-2024/8/50</t>
  </si>
  <si>
    <t>CBH2794</t>
  </si>
  <si>
    <t>DC_01/24/1538</t>
  </si>
  <si>
    <t>6515-014-2024/6/49</t>
  </si>
  <si>
    <t>CBH2787</t>
  </si>
  <si>
    <t>HARMONIC SERIES</t>
  </si>
  <si>
    <t>PLC 2014</t>
  </si>
  <si>
    <t>Labmaster</t>
  </si>
  <si>
    <t xml:space="preserve">จุลทรรศน์ </t>
  </si>
  <si>
    <t>CBH3242</t>
  </si>
  <si>
    <t>CA-28A</t>
  </si>
  <si>
    <t>H-103 N</t>
  </si>
  <si>
    <t>6515-014-2024/14/53</t>
  </si>
  <si>
    <t>CBH6884</t>
  </si>
  <si>
    <t>H-103N</t>
  </si>
  <si>
    <t>6515-014-2024/13/53</t>
  </si>
  <si>
    <t>CBH6885</t>
  </si>
  <si>
    <t xml:space="preserve"> -</t>
  </si>
  <si>
    <t>CBH3216</t>
  </si>
  <si>
    <t xml:space="preserve">ANALYZER, LABORATORY, HEMATOLOGY  (เครื่องตรวจวัด Hb typing) </t>
  </si>
  <si>
    <t xml:space="preserve">CAPILLARYS 2 SEBIA </t>
  </si>
  <si>
    <t>sebia  /Hb typing)</t>
  </si>
  <si>
    <t>CBH3222</t>
  </si>
  <si>
    <t>ANALYZER, LABORATORY, HEMATOLOGY , (เครื่องอ่าน   G-6-P-D)</t>
  </si>
  <si>
    <t xml:space="preserve">  G-6-PD</t>
  </si>
  <si>
    <t>เมดไทย</t>
  </si>
  <si>
    <t>CBH3237</t>
  </si>
  <si>
    <t xml:space="preserve">ANALYZER, LABORATORY, HEMATOLOGY, AUTOMATED COAGULATION </t>
  </si>
  <si>
    <t>PT,CS-1600</t>
  </si>
  <si>
    <t>Med-one</t>
  </si>
  <si>
    <t>CBH3236</t>
  </si>
  <si>
    <t>PT,CS-2500</t>
  </si>
  <si>
    <t>CBH3217</t>
  </si>
  <si>
    <t>ANALYZER, LABORATORY, HEMATOLOGY, CELL COUNTING(Automate  CBC)</t>
  </si>
  <si>
    <t>XN-3000 1</t>
  </si>
  <si>
    <t>CBH3221</t>
  </si>
  <si>
    <t>XN-3000 2</t>
  </si>
  <si>
    <t>CBH3225</t>
  </si>
  <si>
    <t>ANALYZER, LABORATORY, HEMATOLOGY, SEDIMENTATION RATE UNIT (เครื่อง ตรวจวัด ESR)</t>
  </si>
  <si>
    <t>YHLO</t>
  </si>
  <si>
    <t>VISION PRO B VD20024927</t>
  </si>
  <si>
    <t>Hausen bernstein.co.ltd</t>
  </si>
  <si>
    <t>CBH3226</t>
  </si>
  <si>
    <t>VISION PRO B VD20024928</t>
  </si>
  <si>
    <t>CBH3220</t>
  </si>
  <si>
    <t>ANALYZER,SP-10 (Automate ไถ่ slide)</t>
  </si>
  <si>
    <t>SP-10</t>
  </si>
  <si>
    <t>CBH3219</t>
  </si>
  <si>
    <t xml:space="preserve"> SP-10</t>
  </si>
  <si>
    <t>ANALYZER, LABORATORY, HEMATOLOGY</t>
  </si>
  <si>
    <t>BC-6200 (1R)</t>
  </si>
  <si>
    <t>TW-48004235</t>
  </si>
  <si>
    <t>BC-6200 (1L)</t>
  </si>
  <si>
    <t>TW-48004236</t>
  </si>
  <si>
    <t>BC-6200 (2R)</t>
  </si>
  <si>
    <t>TW-48004242</t>
  </si>
  <si>
    <t>BC-6200 (2L)</t>
  </si>
  <si>
    <t>TW-48004243</t>
  </si>
  <si>
    <t>CAPILLARYS  SEBIA 2 flex piercing</t>
  </si>
  <si>
    <t>CAPILLARYS 2 flex piercing</t>
  </si>
  <si>
    <t>ANALYZER, LABORATORY, HEMATOLOGY, SC-120 (Automate ไถ่ slide)</t>
  </si>
  <si>
    <t>SC-120</t>
  </si>
  <si>
    <t>UN-4B000791</t>
  </si>
  <si>
    <t>CBH7265</t>
  </si>
  <si>
    <t>6515-014-2024/20/61</t>
  </si>
  <si>
    <t>CENCE</t>
  </si>
  <si>
    <t>L500</t>
  </si>
  <si>
    <t>L500 160602500713</t>
  </si>
  <si>
    <t>6515-014-2028/1/47</t>
  </si>
  <si>
    <t>CBH3279</t>
  </si>
  <si>
    <t>BOECO</t>
  </si>
  <si>
    <t>C-28</t>
  </si>
  <si>
    <t>0006078-01-00</t>
  </si>
  <si>
    <t>DC_01/24/1559</t>
  </si>
  <si>
    <t>7-875/34</t>
  </si>
  <si>
    <t>CBH3447</t>
  </si>
  <si>
    <t xml:space="preserve">CENTRIFUGE, TABLETOP </t>
  </si>
  <si>
    <t>Hitachi</t>
  </si>
  <si>
    <t>SCT 5B</t>
  </si>
  <si>
    <t>DC_09/25/0102 (หน้า 240-241)</t>
  </si>
  <si>
    <t>2500 rpm =7 3600 rpm=17</t>
  </si>
  <si>
    <t>7±2.4, 17±2.4</t>
  </si>
  <si>
    <t>IMG_6617.JPG</t>
  </si>
  <si>
    <t>6515-014-2028/5/52</t>
  </si>
  <si>
    <t>CBH3446</t>
  </si>
  <si>
    <t>Tomy digital biology Co.Ltd</t>
  </si>
  <si>
    <t>TomyLC230</t>
  </si>
  <si>
    <t>DC_09/25/0103 (หน้า 242-243)</t>
  </si>
  <si>
    <t xml:space="preserve">CENTRIFUGE, TABLETOP  </t>
  </si>
  <si>
    <t>Eppendorf</t>
  </si>
  <si>
    <t>5452KH211530</t>
  </si>
  <si>
    <t>DC_09/25/0092</t>
  </si>
  <si>
    <t>DLAB</t>
  </si>
  <si>
    <t>D2012 Plus</t>
  </si>
  <si>
    <t>LP198AL0000188</t>
  </si>
  <si>
    <t>DC_01/24/1535</t>
  </si>
  <si>
    <t>6515-038-5009/2/59</t>
  </si>
  <si>
    <t>CBH6966</t>
  </si>
  <si>
    <t>CENTRIFUGE, TABLETOP (ครื่องปั่นล้างเซลล์  2 )</t>
  </si>
  <si>
    <t>ROTOLAVIT</t>
  </si>
  <si>
    <t>DC_01/24/1558</t>
  </si>
  <si>
    <t>6515-038-5009/1/55</t>
  </si>
  <si>
    <t>CBH3378</t>
  </si>
  <si>
    <t>CENTRIFUGE, TABLETOP (ครื่องปั่นล้างเซลล์ 1 )</t>
  </si>
  <si>
    <t>DC_01/24/1557</t>
  </si>
  <si>
    <t>PHPT</t>
  </si>
  <si>
    <t>CENTRIFUGE, TABLETOP PHPT</t>
  </si>
  <si>
    <t>เมดิทอป</t>
  </si>
  <si>
    <t>CENTRIFUGE, TABLETOP, HI-SPEED</t>
  </si>
  <si>
    <t>H-19F / สำรอง</t>
  </si>
  <si>
    <t>6515-014-2024/19/61</t>
  </si>
  <si>
    <t>CBH8088</t>
  </si>
  <si>
    <t>Centrifuge(High speed)VGAIYA รุ่นH 1650 Speed 8270 rpm/ 1 min (7000 g)</t>
  </si>
  <si>
    <t>UGAIYA</t>
  </si>
  <si>
    <t>H 1650</t>
  </si>
  <si>
    <t>Gibthai</t>
  </si>
  <si>
    <t>DC_01/24/1547</t>
  </si>
  <si>
    <t>6515-069-4302/25/59</t>
  </si>
  <si>
    <t>CBH3432</t>
  </si>
  <si>
    <t>DIGITAL BLOOD PRESSURE MONITOR (เครื่องวัดความดันโลหิตสอดแขน)</t>
  </si>
  <si>
    <t>ES*H2655</t>
  </si>
  <si>
    <t>2A3400276</t>
  </si>
  <si>
    <t xml:space="preserve"> ช่างเครื่องมือแพทย์</t>
  </si>
  <si>
    <t>6515-069-4302/18/58</t>
  </si>
  <si>
    <t>CBH3407</t>
  </si>
  <si>
    <t>2N0821676</t>
  </si>
  <si>
    <t>LAB-TMP-062-021</t>
  </si>
  <si>
    <t>Digital Thermometer</t>
  </si>
  <si>
    <t>Elitech</t>
  </si>
  <si>
    <t>BT-3</t>
  </si>
  <si>
    <t>เบิกพัสดุ</t>
  </si>
  <si>
    <t>No Cal</t>
  </si>
  <si>
    <t>CBH7079</t>
  </si>
  <si>
    <t>ELITECH</t>
  </si>
  <si>
    <t>24H1460</t>
  </si>
  <si>
    <t>0.0010 C</t>
  </si>
  <si>
    <t>0.092 C</t>
  </si>
  <si>
    <t>0.0930 C</t>
  </si>
  <si>
    <t>LAB-TMP-062-002</t>
  </si>
  <si>
    <t>CBH8193</t>
  </si>
  <si>
    <t>24H1461</t>
  </si>
  <si>
    <t>Lab-TMP-062-017</t>
  </si>
  <si>
    <t>Lab-TMP-062-024</t>
  </si>
  <si>
    <t>21/08/2568</t>
  </si>
  <si>
    <t>21/08/2569</t>
  </si>
  <si>
    <t>DC_12/25/0049</t>
  </si>
  <si>
    <t>ชำรุด</t>
  </si>
  <si>
    <t>LAB-TMP-062-019</t>
  </si>
  <si>
    <t>CBH8146</t>
  </si>
  <si>
    <t>BT-2</t>
  </si>
  <si>
    <t>TMA-CBH8146</t>
  </si>
  <si>
    <t>CBH7085</t>
  </si>
  <si>
    <t>เบิกจากพัสดุ รพ.</t>
  </si>
  <si>
    <t>CBH7081</t>
  </si>
  <si>
    <t>CBH7123</t>
  </si>
  <si>
    <t>LAB-TMP-062-012</t>
  </si>
  <si>
    <t>คลังน้ำยา</t>
  </si>
  <si>
    <t>CBH7084</t>
  </si>
  <si>
    <t xml:space="preserve">Digital Thermometer </t>
  </si>
  <si>
    <t>23H0627</t>
  </si>
  <si>
    <t>CBH7129</t>
  </si>
  <si>
    <t>23H0628</t>
  </si>
  <si>
    <t>0.2010 C</t>
  </si>
  <si>
    <t>0.2930 C</t>
  </si>
  <si>
    <t>CBH7128</t>
  </si>
  <si>
    <t>23H0629</t>
  </si>
  <si>
    <t>0.2017 C, 0.99%RH</t>
  </si>
  <si>
    <t>0.092C,1.9%RH</t>
  </si>
  <si>
    <t>0.2937 C, 2.89 %RH</t>
  </si>
  <si>
    <t>23T1328</t>
  </si>
  <si>
    <t>CBH7125</t>
  </si>
  <si>
    <t xml:space="preserve">Digital Thermometer  </t>
  </si>
  <si>
    <t>20H2003</t>
  </si>
  <si>
    <t>CBH7124</t>
  </si>
  <si>
    <t>Lab-TMP-062-001</t>
  </si>
  <si>
    <t>CBH 8192</t>
  </si>
  <si>
    <t>Digital Thermometer with sensor</t>
  </si>
  <si>
    <t>Elitech group</t>
  </si>
  <si>
    <t>20/08/2568</t>
  </si>
  <si>
    <t>19/08/2569</t>
  </si>
  <si>
    <t>DC_12/25/0053 (หน้า 292-293)</t>
  </si>
  <si>
    <t>0.606+0.091</t>
  </si>
  <si>
    <t>Lab-TMP-062-010</t>
  </si>
  <si>
    <t>CBH 8201</t>
  </si>
  <si>
    <t>DC_12/25/0054 (หน้า 294-295)</t>
  </si>
  <si>
    <t>0.207+0.091</t>
  </si>
  <si>
    <t>CBH4319</t>
  </si>
  <si>
    <t>DC_01/24/4785</t>
  </si>
  <si>
    <t>CBH7087</t>
  </si>
  <si>
    <t>DC_01/24/4786</t>
  </si>
  <si>
    <t>LAB-TMP-062-009</t>
  </si>
  <si>
    <t>CBH8200</t>
  </si>
  <si>
    <t>DC_01/24/4788</t>
  </si>
  <si>
    <t>LAB-TMP-062-018(2)</t>
  </si>
  <si>
    <t>DC_01/24/4789</t>
  </si>
  <si>
    <t>BT-4</t>
  </si>
  <si>
    <t>DC_01/24/4790</t>
  </si>
  <si>
    <t>LAB-TMP-062-016</t>
  </si>
  <si>
    <t>24H1466</t>
  </si>
  <si>
    <t>LAB-TMP-062-018(1)</t>
  </si>
  <si>
    <t>24H1467</t>
  </si>
  <si>
    <t>LAB-TMP-062-007</t>
  </si>
  <si>
    <t>CBH8198</t>
  </si>
  <si>
    <t>24H1468</t>
  </si>
  <si>
    <t>ตรวจพิเศษและตรวจต่อ</t>
  </si>
  <si>
    <t>LAB64002</t>
  </si>
  <si>
    <t>Digital Thermometer-Hygrometer</t>
  </si>
  <si>
    <t>24H1462</t>
  </si>
  <si>
    <t>cobas e801</t>
  </si>
  <si>
    <t>CBH3267</t>
  </si>
  <si>
    <t>SHAKER</t>
  </si>
  <si>
    <t>MR-1</t>
  </si>
  <si>
    <t>MINI ROCKER</t>
  </si>
  <si>
    <t>NC_00/25/0197</t>
  </si>
  <si>
    <t>LAB64003</t>
  </si>
  <si>
    <t>24H1463</t>
  </si>
  <si>
    <t>No.1</t>
  </si>
  <si>
    <t>24H1464</t>
  </si>
  <si>
    <t>DIGITAL THERMOMETOR (TUBE WARMING 1 )</t>
  </si>
  <si>
    <t>DIGITAL THERMOMETOR (TUBE WARMING 2 )</t>
  </si>
  <si>
    <t>DIGITAL THERMOMETOR (TUBE WARMING 3 )</t>
  </si>
  <si>
    <t>DIGITAL THERMOMETOR (ตู้แช่แข็ง 1 )</t>
  </si>
  <si>
    <t>DIGITAL THERMOMETOR (ตู้แช่แข็ง 2  )</t>
  </si>
  <si>
    <t>DIGITAL THERMOMETOR (ตู้แช่แข็ง 3 )</t>
  </si>
  <si>
    <t>DIGITAL THERMOMETOR (ตู้แช่แข็ง 4 )</t>
  </si>
  <si>
    <t>DIGITAL THERMOMETOR (ตู้เย็นเก็บน้ำยา 4 องศา )</t>
  </si>
  <si>
    <t>6530-008-1011/30/59</t>
  </si>
  <si>
    <t>CBH6968</t>
  </si>
  <si>
    <t>DIGITAL WEIGHT SCALE (เครื่องชั่งน้ำหนักดิจิตอล)</t>
  </si>
  <si>
    <t>KROTRON</t>
  </si>
  <si>
    <t>SMF</t>
  </si>
  <si>
    <t>000029</t>
  </si>
  <si>
    <t>6515-099-0002/1/63</t>
  </si>
  <si>
    <t>Dry block Heating Block</t>
  </si>
  <si>
    <t>Stuart</t>
  </si>
  <si>
    <t>SBH130</t>
  </si>
  <si>
    <t>R000101509</t>
  </si>
  <si>
    <t>NC_00/25/0190</t>
  </si>
  <si>
    <t>6515-038-5005/4/55</t>
  </si>
  <si>
    <t>CBH3410</t>
  </si>
  <si>
    <t>ELECTRONIC BLOOD COLLECTION (เครื่องชั่งน้ำหนักพร้อมเขย่าถุงเลือด)</t>
  </si>
  <si>
    <t>T-RAC II</t>
  </si>
  <si>
    <t>6515-100-0001/6/56</t>
  </si>
  <si>
    <t>CBH3411</t>
  </si>
  <si>
    <t>ELECTRONIC BLOOD COLLECTION MONITOR (เครื่องชั่งน้ำหนักพร้อมเขย่าถุงเลือด)</t>
  </si>
  <si>
    <t>DELCON</t>
  </si>
  <si>
    <t>HEMATEK2</t>
  </si>
  <si>
    <t>D-MARK</t>
  </si>
  <si>
    <t>6515-100-0001/7/56</t>
  </si>
  <si>
    <t>CBH3412</t>
  </si>
  <si>
    <t>6515-100-0001/4/57</t>
  </si>
  <si>
    <t>CBH3415</t>
  </si>
  <si>
    <t>6515-100-0001/5/56</t>
  </si>
  <si>
    <t>CBH3416</t>
  </si>
  <si>
    <t>6515-100-0001/8/57</t>
  </si>
  <si>
    <t>CBH3414</t>
  </si>
  <si>
    <t>6515-038-0005/4/55</t>
  </si>
  <si>
    <t>CBH3419</t>
  </si>
  <si>
    <t>PM</t>
  </si>
  <si>
    <t>CAL</t>
  </si>
  <si>
    <t>6515-038-3051/1/59</t>
  </si>
  <si>
    <t>รอขอ</t>
  </si>
  <si>
    <t>FREEZER (  - 70  ๐ C  ) ตู้แช่แข็ง Plasma</t>
  </si>
  <si>
    <t>TUS-500</t>
  </si>
  <si>
    <t>เอ็นวายอาร์</t>
  </si>
  <si>
    <t>Out sourse  CAL ตู้เย็น &amp; ตัวอ่าน ( ISO 17025)</t>
  </si>
  <si>
    <t>6515-091-0001/1/40</t>
  </si>
  <si>
    <t>CBH3328</t>
  </si>
  <si>
    <t>FREEZER (  &lt; -20  ๐ C  ) ตู้แช่แข็ง Plasma</t>
  </si>
  <si>
    <t>ELECTROLUX</t>
  </si>
  <si>
    <t>MRP600</t>
  </si>
  <si>
    <t>Electrolux</t>
  </si>
  <si>
    <t>6515-038-2051/8/54</t>
  </si>
  <si>
    <t>CBH3326</t>
  </si>
  <si>
    <t>MIRAGE</t>
  </si>
  <si>
    <t>FZ380</t>
  </si>
  <si>
    <t>0080054</t>
  </si>
  <si>
    <t>VENUS</t>
  </si>
  <si>
    <t>NC_00/24/0746</t>
  </si>
  <si>
    <t>min = -19.7 C , max =  -19.0 C</t>
  </si>
  <si>
    <t>6515-038-2051/5/52</t>
  </si>
  <si>
    <t>CBH3327</t>
  </si>
  <si>
    <t>NC_00/24/0743</t>
  </si>
  <si>
    <t>min = -26.6 C , max =  -26.2 C</t>
  </si>
  <si>
    <t>CBH3465</t>
  </si>
  <si>
    <t xml:space="preserve">ANALYZER,  LABORATORY , AUTOMATED PCR  </t>
  </si>
  <si>
    <t>ROCHE</t>
  </si>
  <si>
    <t>COBAS TAQMAN 48</t>
  </si>
  <si>
    <t>Roche</t>
  </si>
  <si>
    <t>CBH3464</t>
  </si>
  <si>
    <t>ANALYZER,  LABORATORY, AUTOMATED PCR</t>
  </si>
  <si>
    <t>C0BAS AMPLIPREP</t>
  </si>
  <si>
    <t>CBH3451</t>
  </si>
  <si>
    <t>ANALYZER,  LABORATORY,  FLOW CYTOMETER</t>
  </si>
  <si>
    <t>BD FACS CALIBUR</t>
  </si>
  <si>
    <t>FACS CALIBUR</t>
  </si>
  <si>
    <t>กรมควบคุมโรค</t>
  </si>
  <si>
    <t>เครื่องบริษัท</t>
  </si>
  <si>
    <t>6515-038-2051/6/52</t>
  </si>
  <si>
    <t>CBH3325</t>
  </si>
  <si>
    <t>NC_00/24/0742</t>
  </si>
  <si>
    <t>min = -21.6 C , max =  -21.0 C</t>
  </si>
  <si>
    <t>6515-038-2051/12/56</t>
  </si>
  <si>
    <t>CBH6060</t>
  </si>
  <si>
    <t>FREEZER, LABORATORY</t>
  </si>
  <si>
    <t>HAIER</t>
  </si>
  <si>
    <t xml:space="preserve">Out sourse  PM </t>
  </si>
  <si>
    <t>CBH3283</t>
  </si>
  <si>
    <t>HOOD,  TABLE (ดูดกลิ่น)</t>
  </si>
  <si>
    <t>ISSCO</t>
  </si>
  <si>
    <t>NTS-1300-SS</t>
  </si>
  <si>
    <t>Out sourse</t>
  </si>
  <si>
    <t>0523264</t>
  </si>
  <si>
    <t>CBH5465</t>
  </si>
  <si>
    <t>0523265</t>
  </si>
  <si>
    <t>CBH5466</t>
  </si>
  <si>
    <t>0523266</t>
  </si>
  <si>
    <t>CBH5464</t>
  </si>
  <si>
    <t>DT-1600-900-FGR</t>
  </si>
  <si>
    <t>0523267</t>
  </si>
  <si>
    <t>CBH3285</t>
  </si>
  <si>
    <t>0523268</t>
  </si>
  <si>
    <t>6515-037-0201/3/50</t>
  </si>
  <si>
    <t>CBH3334</t>
  </si>
  <si>
    <t>HOOD, ISOLATION, LAMINAR AIRFLOW (Class II)</t>
  </si>
  <si>
    <t>ESCO</t>
  </si>
  <si>
    <t>SC2-4A1</t>
  </si>
  <si>
    <t>200-18209</t>
  </si>
  <si>
    <t>บ.ไบโอแคลิเบชัน</t>
  </si>
  <si>
    <t>Ousourse</t>
  </si>
  <si>
    <t>6515-039-1111/9/60(1)</t>
  </si>
  <si>
    <t>High</t>
  </si>
  <si>
    <t xml:space="preserve">CBH7666    </t>
  </si>
  <si>
    <t>HOOD, ISOLATION, LAMINAR AIRFLOW (Class II) Biosafety Cabinet Class 2</t>
  </si>
  <si>
    <t>AC2-438-NS</t>
  </si>
  <si>
    <t>2016-112298</t>
  </si>
  <si>
    <t>บ.ไอโครเท็ค</t>
  </si>
  <si>
    <t>Out source</t>
  </si>
  <si>
    <t>0223199</t>
  </si>
  <si>
    <t>CBH2800</t>
  </si>
  <si>
    <t>ANALYZER, LABORATORY, URINE, AUTOMATED</t>
  </si>
  <si>
    <t>UF-1000i</t>
  </si>
  <si>
    <t>CBH3212</t>
  </si>
  <si>
    <t>URINE ANALYZER</t>
  </si>
  <si>
    <t>URISCAN PRO+</t>
  </si>
  <si>
    <t>YD diagnostic</t>
  </si>
  <si>
    <t>CBH3215</t>
  </si>
  <si>
    <t xml:space="preserve">URISCAN </t>
  </si>
  <si>
    <t>SUPER</t>
  </si>
  <si>
    <t>6515-096-0008/1/43</t>
  </si>
  <si>
    <t>CBH2790</t>
  </si>
  <si>
    <t>HOOD, ตู้ Biological Safety Cabinet (BSC)  Class 2</t>
  </si>
  <si>
    <t>CLEAN</t>
  </si>
  <si>
    <t>V6</t>
  </si>
  <si>
    <t>0118</t>
  </si>
  <si>
    <t>บ.แลบเซอร์วิส</t>
  </si>
  <si>
    <t>6515-037-0201/2/43</t>
  </si>
  <si>
    <t>CBH2791</t>
  </si>
  <si>
    <t xml:space="preserve">HOOD, ตู้ดูดกลิ่น  </t>
  </si>
  <si>
    <t>กลุ่มงาน</t>
  </si>
  <si>
    <t>6515-037-0201/5/52</t>
  </si>
  <si>
    <t>HOOD, ตู้ดูดกลิ่นสารเคมี</t>
  </si>
  <si>
    <t>EFD-4Ba</t>
  </si>
  <si>
    <t>2008-36431</t>
  </si>
  <si>
    <t>C0224347</t>
  </si>
  <si>
    <t>Main HEPA 0.023, Exh HEPA 0.063</t>
  </si>
  <si>
    <t>NOT PASS</t>
  </si>
  <si>
    <t>6515-037-0201/11/59</t>
  </si>
  <si>
    <t>HOOD, ตู้ดูดควัน (Fume Hood)  Class  I</t>
  </si>
  <si>
    <t>ISSCO THAI</t>
  </si>
  <si>
    <t>VT-123SS Class</t>
  </si>
  <si>
    <t>C0524235</t>
  </si>
  <si>
    <t>CBH3275</t>
  </si>
  <si>
    <t>VT-123</t>
  </si>
  <si>
    <t>0523269</t>
  </si>
  <si>
    <t>No cal เสีย</t>
  </si>
  <si>
    <t>6515-039-1111/4/57</t>
  </si>
  <si>
    <t>CBH6062</t>
  </si>
  <si>
    <t>HOOD, ตู้ปลอดเชื้อ Biological Safety Cabinet (BSC)  Class 2</t>
  </si>
  <si>
    <t>VG-4A21-UVGI</t>
  </si>
  <si>
    <t>C0224354</t>
  </si>
  <si>
    <t>Main HEPA 0.136</t>
  </si>
  <si>
    <t>DRA</t>
  </si>
  <si>
    <t>Telstar</t>
  </si>
  <si>
    <t>Bio-II-Advance 4</t>
  </si>
  <si>
    <t>C0224353</t>
  </si>
  <si>
    <t>6515-039-1111/8/60 (1)</t>
  </si>
  <si>
    <t>CBH7679</t>
  </si>
  <si>
    <t>2017-114936</t>
  </si>
  <si>
    <t>C0224349</t>
  </si>
  <si>
    <t>Main HEPA 1.073, Exh HEPA 0.530</t>
  </si>
  <si>
    <t>6515-037-0201/4/50</t>
  </si>
  <si>
    <t>CBH3298</t>
  </si>
  <si>
    <t>2006-18221</t>
  </si>
  <si>
    <t>C0224352</t>
  </si>
  <si>
    <t>6515-039-1111/10/62</t>
  </si>
  <si>
    <t>AC2-4E8-TU</t>
  </si>
  <si>
    <t>2019-137000</t>
  </si>
  <si>
    <t>C0224351</t>
  </si>
  <si>
    <t>6515-039-1111/6/60 (1)</t>
  </si>
  <si>
    <t>2016-112297</t>
  </si>
  <si>
    <t>C0224350</t>
  </si>
  <si>
    <t>6515-039-1111/7/60 (1)</t>
  </si>
  <si>
    <t>2016-114940</t>
  </si>
  <si>
    <t>0223261</t>
  </si>
  <si>
    <t>AC2-4S8-NS-e</t>
  </si>
  <si>
    <t>2022-185551</t>
  </si>
  <si>
    <t>C0224348</t>
  </si>
  <si>
    <t>AC2-6S8-NS</t>
  </si>
  <si>
    <t>2021-170984</t>
  </si>
  <si>
    <t>CBH3290</t>
  </si>
  <si>
    <t>HOT AIR OVEN (อบเครื่องแก้ว)</t>
  </si>
  <si>
    <t>ช่างเครื่องมือแพทย์ (ตรวจสอบทางกายภาพ)</t>
  </si>
  <si>
    <t>6515-096-0009/2/56</t>
  </si>
  <si>
    <t>CBH3276</t>
  </si>
  <si>
    <t>INCUBATOR</t>
  </si>
  <si>
    <t>INE-800</t>
  </si>
  <si>
    <t>E812..0155</t>
  </si>
  <si>
    <t>DC_01/24/1484</t>
  </si>
  <si>
    <t>min = 34.8 C , max = 35.9 C</t>
  </si>
  <si>
    <t xml:space="preserve"> ± 1  ๐ C </t>
  </si>
  <si>
    <t>min = 33.8 C , max = 36.9 C</t>
  </si>
  <si>
    <t>7-647</t>
  </si>
  <si>
    <t>CBH3284</t>
  </si>
  <si>
    <t>B 10</t>
  </si>
  <si>
    <t>NC_01/24/0763</t>
  </si>
  <si>
    <t>7.522/30</t>
  </si>
  <si>
    <t>CBH3291</t>
  </si>
  <si>
    <t>B80</t>
  </si>
  <si>
    <t>DC_01/24/1482</t>
  </si>
  <si>
    <t>6515-040-0002/001/65</t>
  </si>
  <si>
    <t>INCUBATOR CO2</t>
  </si>
  <si>
    <t>HERAcell vios 160i</t>
  </si>
  <si>
    <t>บ.เมดิท็อป</t>
  </si>
  <si>
    <t>DC_01/24/1483</t>
  </si>
  <si>
    <t>min = 37.5 C , max = 37.7C</t>
  </si>
  <si>
    <t>min = 36.5 C , max = 38.7C</t>
  </si>
  <si>
    <t>6650-002-2102/13/60</t>
  </si>
  <si>
    <t>CBH7501</t>
  </si>
  <si>
    <t>MICROSCOPE</t>
  </si>
  <si>
    <t>OLYMPUS</t>
  </si>
  <si>
    <t>CX-31</t>
  </si>
  <si>
    <t>6D41189</t>
  </si>
  <si>
    <t>Olympus</t>
  </si>
  <si>
    <t>7-672</t>
  </si>
  <si>
    <t>CBH3402</t>
  </si>
  <si>
    <t>CHS</t>
  </si>
  <si>
    <t>6M9017</t>
  </si>
  <si>
    <t>E for L</t>
  </si>
  <si>
    <t>หาเครื่องไม่พบ</t>
  </si>
  <si>
    <t>6650-002-0001/2/37</t>
  </si>
  <si>
    <t>6650-002-2102/12/60</t>
  </si>
  <si>
    <t>CBH7502</t>
  </si>
  <si>
    <t>6D41180</t>
  </si>
  <si>
    <t>7-673</t>
  </si>
  <si>
    <t>CBH3218</t>
  </si>
  <si>
    <t>6650-002-3203/1/50</t>
  </si>
  <si>
    <t>CBH3645</t>
  </si>
  <si>
    <t>CX21FS1</t>
  </si>
  <si>
    <t>6G08257</t>
  </si>
  <si>
    <t>6650-002-0001/10/27</t>
  </si>
  <si>
    <t>CBH2796</t>
  </si>
  <si>
    <t>NIKON</t>
  </si>
  <si>
    <t>YS2-H</t>
  </si>
  <si>
    <t>หาเครื่ื่องไม่พบ</t>
  </si>
  <si>
    <t>6650-002-2102/5/49</t>
  </si>
  <si>
    <t>CBH2799</t>
  </si>
  <si>
    <t>CX-21</t>
  </si>
  <si>
    <t>5H91133</t>
  </si>
  <si>
    <t>6650-002/2102/4/49</t>
  </si>
  <si>
    <t>CBH2795</t>
  </si>
  <si>
    <t>5H91146</t>
  </si>
  <si>
    <t>6650-002-2102/14/60</t>
  </si>
  <si>
    <t>CBH7500</t>
  </si>
  <si>
    <t>6D41010</t>
  </si>
  <si>
    <t>6650-002-2102/6/53</t>
  </si>
  <si>
    <t>CBH2798</t>
  </si>
  <si>
    <t>9D052-99</t>
  </si>
  <si>
    <t>600-002-0001/4/37</t>
  </si>
  <si>
    <t>CBH3443</t>
  </si>
  <si>
    <t>Nikon</t>
  </si>
  <si>
    <t>Y52</t>
  </si>
  <si>
    <t>5-528/34</t>
  </si>
  <si>
    <t>CBH3383</t>
  </si>
  <si>
    <t>6650-002-2102/011/60</t>
  </si>
  <si>
    <t>CBH6064</t>
  </si>
  <si>
    <t>CX23</t>
  </si>
  <si>
    <t>6L85284</t>
  </si>
  <si>
    <t>6650-002-2102/2/48</t>
  </si>
  <si>
    <t>6650-002-2102/11/40</t>
  </si>
  <si>
    <t>6650002/2102/7/53</t>
  </si>
  <si>
    <t>CBH3280</t>
  </si>
  <si>
    <t>CX31RBSFA</t>
  </si>
  <si>
    <t>9D05312</t>
  </si>
  <si>
    <t>(สำนักวัณโรคบริจาค)</t>
  </si>
  <si>
    <t>CBH3281</t>
  </si>
  <si>
    <t>ZEISS</t>
  </si>
  <si>
    <t>PRIMO STAR</t>
  </si>
  <si>
    <t>6650-002-3203/2/50</t>
  </si>
  <si>
    <t>CBH3545</t>
  </si>
  <si>
    <t>6350-002-0009/1/40</t>
  </si>
  <si>
    <t>CBH3299</t>
  </si>
  <si>
    <t>LABOPHOT-2</t>
  </si>
  <si>
    <t>(เลขครุณัณฑ์ลบเลือน)</t>
  </si>
  <si>
    <t>CBH3282</t>
  </si>
  <si>
    <t>KF2</t>
  </si>
  <si>
    <t>Leica</t>
  </si>
  <si>
    <t>DM 500 RH / FLEXACAM C1</t>
  </si>
  <si>
    <t>562374-02/24/</t>
  </si>
  <si>
    <t>CBH3270</t>
  </si>
  <si>
    <t>MICROSCOPE (Fluorescence &amp; ชุดถ่ายภาพ)</t>
  </si>
  <si>
    <t>BX51 &amp; DP70</t>
  </si>
  <si>
    <t>6F22959</t>
  </si>
  <si>
    <t>6650-002-0009/2/62</t>
  </si>
  <si>
    <t>MICROSCOPE (Fluorescence)</t>
  </si>
  <si>
    <t>HUMAN</t>
  </si>
  <si>
    <t>HumaScope Fluo LED</t>
  </si>
  <si>
    <t>CBH1010</t>
  </si>
  <si>
    <t>MIXER</t>
  </si>
  <si>
    <t>Gemmy</t>
  </si>
  <si>
    <t>VRN-360</t>
  </si>
  <si>
    <t>บ.แล็บมาสเตอร์</t>
  </si>
  <si>
    <t>NC_00/23/0301</t>
  </si>
  <si>
    <t>7/3444/34</t>
  </si>
  <si>
    <t>CBH3271</t>
  </si>
  <si>
    <t>VORTEX MIXER ;USA</t>
  </si>
  <si>
    <t>K-550-GE</t>
  </si>
  <si>
    <t>6515-024-0002/6/49</t>
  </si>
  <si>
    <t>CBH3256</t>
  </si>
  <si>
    <t>VORTEX MIXER ;GEMMY</t>
  </si>
  <si>
    <t>VM-300</t>
  </si>
  <si>
    <t>บ.ไบโอเทคนิคัล  จำกัด</t>
  </si>
  <si>
    <t>601001/6515-024-002/5/49</t>
  </si>
  <si>
    <t>CBH3461</t>
  </si>
  <si>
    <t>German Industrial</t>
  </si>
  <si>
    <t>บ.Gemny industrial</t>
  </si>
  <si>
    <t>6515-024-0002/1/48</t>
  </si>
  <si>
    <t>CBH3286</t>
  </si>
  <si>
    <t>LABNET</t>
  </si>
  <si>
    <t>VX100</t>
  </si>
  <si>
    <t>6515-024-00021053</t>
  </si>
  <si>
    <t>CBH3301</t>
  </si>
  <si>
    <t>VORTEX GENIE</t>
  </si>
  <si>
    <t>2si usa</t>
  </si>
  <si>
    <t>CBH3300</t>
  </si>
  <si>
    <t>VORTEX MIXER K</t>
  </si>
  <si>
    <t>6515-024-0006/1/54</t>
  </si>
  <si>
    <t>CBH3234</t>
  </si>
  <si>
    <t>MIXER, BLOOD TUBE (mix Tube CBC)</t>
  </si>
  <si>
    <t>ASSISTANT</t>
  </si>
  <si>
    <t xml:space="preserve">RM 5 </t>
  </si>
  <si>
    <t>Pass box</t>
  </si>
  <si>
    <t>ISSCOTHAi</t>
  </si>
  <si>
    <t>ISS-PB-600600600-SS</t>
  </si>
  <si>
    <t>PM by user</t>
  </si>
  <si>
    <t>6515-039-4404/1/52</t>
  </si>
  <si>
    <t>CBH6350</t>
  </si>
  <si>
    <t>PH METER</t>
  </si>
  <si>
    <t>PHTESTR 30</t>
  </si>
  <si>
    <t>CBH3264</t>
  </si>
  <si>
    <t>PIPETTE   10-100 µL</t>
  </si>
  <si>
    <t>Biohit</t>
  </si>
  <si>
    <t>PROLINE PLUS</t>
  </si>
  <si>
    <t>บ.กริบไทย</t>
  </si>
  <si>
    <t>16/10/2568</t>
  </si>
  <si>
    <t>15/10/2569</t>
  </si>
  <si>
    <t>DC_01/25/3702</t>
  </si>
  <si>
    <t>CBH3439</t>
  </si>
  <si>
    <t>Pipette   100-1000 µL</t>
  </si>
  <si>
    <t>Proline Plus</t>
  </si>
  <si>
    <t>DC_01/23/2314</t>
  </si>
  <si>
    <t>CBH3263</t>
  </si>
  <si>
    <t>DC_01/23/2309</t>
  </si>
  <si>
    <t>CBH3273</t>
  </si>
  <si>
    <t>Pipette   2-20 µL</t>
  </si>
  <si>
    <t>DC_01/23/2310</t>
  </si>
  <si>
    <t>CBH3471</t>
  </si>
  <si>
    <t>PIPETTE  0.5-10 µL</t>
  </si>
  <si>
    <t>PROLINE</t>
  </si>
  <si>
    <t>บ.กิบไทย</t>
  </si>
  <si>
    <t>CBH3473</t>
  </si>
  <si>
    <t>PROLINE 0.5-10 UL</t>
  </si>
  <si>
    <t>Pipette  10-100 uL</t>
  </si>
  <si>
    <t>15/09/2568</t>
  </si>
  <si>
    <t>14/09/2569</t>
  </si>
  <si>
    <t>DC_01/25/2846</t>
  </si>
  <si>
    <t>Pipette  100-1000 uL</t>
  </si>
  <si>
    <t>Sartorius</t>
  </si>
  <si>
    <t>DC_01/23/2306</t>
  </si>
  <si>
    <t>DC_01/23/2317</t>
  </si>
  <si>
    <t>CBH3306</t>
  </si>
  <si>
    <t>Pipette  100-1000µL</t>
  </si>
  <si>
    <t>Proline</t>
  </si>
  <si>
    <t>หาเครื่องมือไม่พบ</t>
  </si>
  <si>
    <t>DC_01/23/2303</t>
  </si>
  <si>
    <t>system  = 3.0685 ul, Random 0.0446 uL</t>
  </si>
  <si>
    <t>0.32 ul</t>
  </si>
  <si>
    <t>system  = 3.3885 ul, Random 0.0446 uL</t>
  </si>
  <si>
    <t>CBH3307</t>
  </si>
  <si>
    <t>Pipette  1000µL</t>
  </si>
  <si>
    <t>CU54332</t>
  </si>
  <si>
    <t>PM by User (ไม่ต้องสอบเทียบ)</t>
  </si>
  <si>
    <t>DC_01/23/2305</t>
  </si>
  <si>
    <t>system  = 2.4587ul, Random 0.1148uL</t>
  </si>
  <si>
    <t>0.32 uL</t>
  </si>
  <si>
    <t>system  = 2.7787 ul, Random 0.1148uL</t>
  </si>
  <si>
    <t>CBH6337</t>
  </si>
  <si>
    <t>PIPETTE  10µL</t>
  </si>
  <si>
    <t>CBH3231</t>
  </si>
  <si>
    <t>Pipette  2-20 µL</t>
  </si>
  <si>
    <t>DC_01/23/2316</t>
  </si>
  <si>
    <t>CBH3261</t>
  </si>
  <si>
    <t>Pipette  20-200  µL</t>
  </si>
  <si>
    <t>DC_01/23/2307</t>
  </si>
  <si>
    <t>CBH3470</t>
  </si>
  <si>
    <t>Pipette  20-200 µL</t>
  </si>
  <si>
    <t>DC_01/23/2298</t>
  </si>
  <si>
    <t>system  = 0.7264 ul, Random 0.0303 uL</t>
  </si>
  <si>
    <t>0.19uL</t>
  </si>
  <si>
    <t>system = 0.9764 ul, Random 0.0303 uL</t>
  </si>
  <si>
    <t>CBH3453</t>
  </si>
  <si>
    <t>PIPETTE  5-50 µL</t>
  </si>
  <si>
    <t>CT61561</t>
  </si>
  <si>
    <t>BOECO German</t>
  </si>
  <si>
    <t>DC_01/20/6298</t>
  </si>
  <si>
    <t>CBH3262</t>
  </si>
  <si>
    <t>Pipette  50 µL</t>
  </si>
  <si>
    <t>D036286</t>
  </si>
  <si>
    <t>DC_01/23/2312</t>
  </si>
  <si>
    <t>Pipette 0.5-10 µL</t>
  </si>
  <si>
    <t>Reference2  0.5-10 µL</t>
  </si>
  <si>
    <t>32464i</t>
  </si>
  <si>
    <t>DC_01/24/4842</t>
  </si>
  <si>
    <t>CBH6344</t>
  </si>
  <si>
    <t>PIPETTE 1.5-5 ml</t>
  </si>
  <si>
    <t>NICHIRYO</t>
  </si>
  <si>
    <t>2100DG 5ml</t>
  </si>
  <si>
    <t>A13301851</t>
  </si>
  <si>
    <t>CBH6345</t>
  </si>
  <si>
    <t>A13601331</t>
  </si>
  <si>
    <t>54 ID-68223</t>
  </si>
  <si>
    <t>PIPETTE 10-100 µL</t>
  </si>
  <si>
    <t>มาจากงาน อณูชีว</t>
  </si>
  <si>
    <t>CBH7291</t>
  </si>
  <si>
    <t>Pipette 10-100 µL</t>
  </si>
  <si>
    <t>Labnet</t>
  </si>
  <si>
    <t>Biopette Plus</t>
  </si>
  <si>
    <t>DC_01/23/2454</t>
  </si>
  <si>
    <t>CBH3347</t>
  </si>
  <si>
    <t>CBH3375</t>
  </si>
  <si>
    <t>DC_01/23/2452</t>
  </si>
  <si>
    <t>Proline 10-100 µL</t>
  </si>
  <si>
    <t>DC_01/24/4783</t>
  </si>
  <si>
    <t>DC_01/24/4782</t>
  </si>
  <si>
    <t>Hipette plus 20-200 uL</t>
  </si>
  <si>
    <t>GD217AD0000837</t>
  </si>
  <si>
    <t>DC_01/24/4780</t>
  </si>
  <si>
    <t>Hipette plus 10-100 uL</t>
  </si>
  <si>
    <t>GD219AE0009404</t>
  </si>
  <si>
    <t>DC_01/24/4779</t>
  </si>
  <si>
    <t>CBH3305</t>
  </si>
  <si>
    <t>DC_01/23/2302</t>
  </si>
  <si>
    <t>system  = 0.2389 ul, Random 0.0601 uL</t>
  </si>
  <si>
    <t>0.18uL</t>
  </si>
  <si>
    <t>system  = 0.4189 ul, Random 0.0601 uL</t>
  </si>
  <si>
    <t>DC_01/24/4846</t>
  </si>
  <si>
    <t>Reference2  10-100 µL</t>
  </si>
  <si>
    <t>N16790I</t>
  </si>
  <si>
    <t>DC_01/24/4847</t>
  </si>
  <si>
    <t>CBH3268</t>
  </si>
  <si>
    <t>PIPETTE 100-1000 µL</t>
  </si>
  <si>
    <t>(95077) 6515-024-0001/42/63</t>
  </si>
  <si>
    <t>Pipette 100-1000 µL</t>
  </si>
  <si>
    <t>DragonLab</t>
  </si>
  <si>
    <t>YE174AB0076854</t>
  </si>
  <si>
    <t>DC_01/23/2299</t>
  </si>
  <si>
    <t>system  = 0.7625 ul, Random 0.0389 uL</t>
  </si>
  <si>
    <t>0.19 uL</t>
  </si>
  <si>
    <t>system  = 0.9525 ul, Random 0.0389 uL</t>
  </si>
  <si>
    <t>6515-024-0001/36/60</t>
  </si>
  <si>
    <t>CBH7292</t>
  </si>
  <si>
    <t>Dragonlab</t>
  </si>
  <si>
    <t>Proline 100-1000 µL</t>
  </si>
  <si>
    <t>DC_01/24/4857</t>
  </si>
  <si>
    <t>DC_01/24/4850</t>
  </si>
  <si>
    <t>15/10/69</t>
  </si>
  <si>
    <t>DC_01/25/3704</t>
  </si>
  <si>
    <t>Reference Plus 100-1000 µL</t>
  </si>
  <si>
    <t>J29092J</t>
  </si>
  <si>
    <t>DC_01/25/4854</t>
  </si>
  <si>
    <t>J29505J</t>
  </si>
  <si>
    <t>DC_01/25/2857</t>
  </si>
  <si>
    <t>TopPette 100-1000 µL</t>
  </si>
  <si>
    <t>YE16BAA0088997</t>
  </si>
  <si>
    <t>DC_01/24/4856</t>
  </si>
  <si>
    <t>CBH3474</t>
  </si>
  <si>
    <t>DC_01/25/3693 (หน้า 96-97)</t>
  </si>
  <si>
    <t>100 systematic=0.0644µL,random=0.0370 µL 500µL systematic=0.8423,random=0.1271µL ,1000systematic=2.1198 µLrandom=0.134 µL</t>
  </si>
  <si>
    <t>CBH3469</t>
  </si>
  <si>
    <t>PROLINE 100-1000 UL</t>
  </si>
  <si>
    <t>CBH3472</t>
  </si>
  <si>
    <t>DC_01/23/2300</t>
  </si>
  <si>
    <t>system  = 2.7345 ul, Random 0.1098 uL</t>
  </si>
  <si>
    <t>system = 3.0545 ul, Random 0.1098 uL</t>
  </si>
  <si>
    <t>DC_01/24/4784</t>
  </si>
  <si>
    <t>Hipette plus 100-1000 uL</t>
  </si>
  <si>
    <t>GD219AE0005587</t>
  </si>
  <si>
    <t>DC_01/24/4781</t>
  </si>
  <si>
    <t>ONiLAB</t>
  </si>
  <si>
    <t>Micropette plus 100-1000 uL</t>
  </si>
  <si>
    <t>YL195AH0067483</t>
  </si>
  <si>
    <t>DC_01/24/4838</t>
  </si>
  <si>
    <t>CBH6117</t>
  </si>
  <si>
    <t xml:space="preserve">PROLINE </t>
  </si>
  <si>
    <t>DC_01/24/4845</t>
  </si>
  <si>
    <t>DC_01/24/4841</t>
  </si>
  <si>
    <t>CBH3460</t>
  </si>
  <si>
    <t>PIPETTE 100-1000µL</t>
  </si>
  <si>
    <t>CBH3425</t>
  </si>
  <si>
    <t>Critical Monitoring</t>
  </si>
  <si>
    <t>SDP Plalete apheresis (1)</t>
  </si>
  <si>
    <t>วีนัส</t>
  </si>
  <si>
    <t>MCS+</t>
  </si>
  <si>
    <t>/</t>
  </si>
  <si>
    <t>CBH3426</t>
  </si>
  <si>
    <t>SDP Plalete apheresis (2)</t>
  </si>
  <si>
    <t>CBH3427</t>
  </si>
  <si>
    <t>Critical monitoring</t>
  </si>
  <si>
    <t>SDP Plalete apheresis (3)</t>
  </si>
  <si>
    <t>CBH3428</t>
  </si>
  <si>
    <t>SDP Plalete apheresis (4)</t>
  </si>
  <si>
    <t>trima</t>
  </si>
  <si>
    <t>SDP Plalete apheresis (5)</t>
  </si>
  <si>
    <t>CBH3348</t>
  </si>
  <si>
    <t>Blood Component Autometic ertracter (เครื่องบีบแยกถุงเลือด)</t>
  </si>
  <si>
    <t>T-ACE II</t>
  </si>
  <si>
    <t>CBH3349</t>
  </si>
  <si>
    <t>Blood Component Autometic ertracter(เครื่องบีบแยกถุงเลือด)</t>
  </si>
  <si>
    <t>ANALYZER,POINT-OF-CARE, HEMATOLOGY, HEMOGLOBIN</t>
  </si>
  <si>
    <t>HEMOCUE</t>
  </si>
  <si>
    <t>HB301</t>
  </si>
  <si>
    <t>เทคโนเมดิคอล</t>
  </si>
  <si>
    <t>CBH3340</t>
  </si>
  <si>
    <t>CENTRIFUGE, TABLETOP (ปั่นอ่าน gel card)</t>
  </si>
  <si>
    <t>GRIFOLS</t>
  </si>
  <si>
    <t>DG SPIN</t>
  </si>
  <si>
    <t>CBH3371</t>
  </si>
  <si>
    <t>CBH3372</t>
  </si>
  <si>
    <t>CBH3370</t>
  </si>
  <si>
    <t>INCLUBRATOR GEL CARD (เครืองอุ่น Gel card)</t>
  </si>
  <si>
    <t>DG THERM</t>
  </si>
  <si>
    <t>CBH6793</t>
  </si>
  <si>
    <t>ผู้ป่วยนอก</t>
  </si>
  <si>
    <t>DIANGOSTIC</t>
  </si>
  <si>
    <t>ANALYZER, POINT-OF-CARE, WHOLE BLOOD, GLUCOSE</t>
  </si>
  <si>
    <t>ACCU-CHEK</t>
  </si>
  <si>
    <t>INFORM II</t>
  </si>
  <si>
    <t>บ.โรช</t>
  </si>
  <si>
    <t>PIPETTE 1000 uL</t>
  </si>
  <si>
    <t>Reference2  100-1000 µL</t>
  </si>
  <si>
    <t>O50468I</t>
  </si>
  <si>
    <t>DC_01/24/4843</t>
  </si>
  <si>
    <t>Pipette 1000 µL</t>
  </si>
  <si>
    <t>Proline 1000 µL</t>
  </si>
  <si>
    <t>DC_01/24/4844</t>
  </si>
  <si>
    <t>CBH3303</t>
  </si>
  <si>
    <t>PIPETTE 100µL</t>
  </si>
  <si>
    <t>Out sourse(ISO8655:2002) Part 2,6</t>
  </si>
  <si>
    <t>Pipette 2-20 uL</t>
  </si>
  <si>
    <t>Proline 2-20 µL</t>
  </si>
  <si>
    <t>DC_01/24/4853</t>
  </si>
  <si>
    <t>Proline Plus 2-20 µL</t>
  </si>
  <si>
    <t>DC_01/25/2850</t>
  </si>
  <si>
    <t>Pipette 2-20 µL</t>
  </si>
  <si>
    <t>Micropette plus 2-20 uL</t>
  </si>
  <si>
    <t>YM21BAN0019683</t>
  </si>
  <si>
    <t>DC_01/24/4860</t>
  </si>
  <si>
    <t>Proline 2-20 uL</t>
  </si>
  <si>
    <t>DC_01/24/4773</t>
  </si>
  <si>
    <t>CBH3452</t>
  </si>
  <si>
    <t>PIPETTE 2-20 µL</t>
  </si>
  <si>
    <t>Pipette 20-200 uL</t>
  </si>
  <si>
    <t>Proline 20-200 µL</t>
  </si>
  <si>
    <t>Reference  20-200 µL</t>
  </si>
  <si>
    <t>I15058J</t>
  </si>
  <si>
    <t>DC_01/24/4854</t>
  </si>
  <si>
    <t>(95074) 6515-024-0001/39/63</t>
  </si>
  <si>
    <t>Pipette 20-200 µL</t>
  </si>
  <si>
    <t>YE194AL0376268</t>
  </si>
  <si>
    <t>DC_01/23/2297</t>
  </si>
  <si>
    <t>system  = 0.0000 ul, Random 0.0085 uL</t>
  </si>
  <si>
    <t>0.018 ul</t>
  </si>
  <si>
    <t>system+uncer = 0.018 ul, Random 0.0085 uL</t>
  </si>
  <si>
    <t>54 ID-68228</t>
  </si>
  <si>
    <t>PIPETTE 20-200 µL</t>
  </si>
  <si>
    <t>YM21BAN0018784</t>
  </si>
  <si>
    <t>DC_01/24/4861</t>
  </si>
  <si>
    <t>DC_01/25/2848</t>
  </si>
  <si>
    <t>I15001J</t>
  </si>
  <si>
    <t>DC_01/25/2853</t>
  </si>
  <si>
    <t>CBH3456</t>
  </si>
  <si>
    <t>Proline 20-200 uL</t>
  </si>
  <si>
    <t>DC_01/24/4774</t>
  </si>
  <si>
    <t>CBH3467</t>
  </si>
  <si>
    <t>DC_01/24/4775</t>
  </si>
  <si>
    <t>DC_01/23/2308</t>
  </si>
  <si>
    <t>system  = 0.6121 ul, Random 0.0280 uL</t>
  </si>
  <si>
    <t>0.19ul</t>
  </si>
  <si>
    <t>system  = 0.8021 ul, Random 0.0280 uL</t>
  </si>
  <si>
    <t>CBH6116</t>
  </si>
  <si>
    <t>CBH3466</t>
  </si>
  <si>
    <t>PROLINE 20-200 UL</t>
  </si>
  <si>
    <t>CBH3229</t>
  </si>
  <si>
    <t>Pipette 5- 50 µL</t>
  </si>
  <si>
    <t>DC_01/23/2304</t>
  </si>
  <si>
    <t>system  = 0.0218ul, Random 0.0047 uL</t>
  </si>
  <si>
    <t>0.017 ul</t>
  </si>
  <si>
    <t>system  = 0.0388ul, Random 0.0047 uL</t>
  </si>
  <si>
    <t>CBH6336</t>
  </si>
  <si>
    <t>Pipette 5-50 µL</t>
  </si>
  <si>
    <t>DC_01/23/2315</t>
  </si>
  <si>
    <t>system  = 0.2406 ul, Random 0.0337 uL</t>
  </si>
  <si>
    <t>0.18 uL</t>
  </si>
  <si>
    <t>system  = 0.4206 ul, Random 0.0337 uL</t>
  </si>
  <si>
    <t>CBH3346</t>
  </si>
  <si>
    <t>PIPETTE 5-50 µL</t>
  </si>
  <si>
    <t>Accumax</t>
  </si>
  <si>
    <t>PRO</t>
  </si>
  <si>
    <t>GF769350</t>
  </si>
  <si>
    <t>Micropette plus 5-50 uL</t>
  </si>
  <si>
    <t>YL195AH0065440</t>
  </si>
  <si>
    <t>DC_01/24/4837</t>
  </si>
  <si>
    <t>CBH3258</t>
  </si>
  <si>
    <t>Pipette 500 µL</t>
  </si>
  <si>
    <t>DP53564</t>
  </si>
  <si>
    <t>DC_01/25/2845</t>
  </si>
  <si>
    <t>ANALYZER, LABORATORY, HEMATOLOGY, CELL COUNTING, AUTOMATED</t>
  </si>
  <si>
    <t>SYSMES</t>
  </si>
  <si>
    <t>XN-1000</t>
  </si>
  <si>
    <t>ดูหน้างาน</t>
  </si>
  <si>
    <t>Pass  or Fail</t>
  </si>
  <si>
    <t>CBH6088</t>
  </si>
  <si>
    <t>DIESSE</t>
  </si>
  <si>
    <t>MATIC EASY</t>
  </si>
  <si>
    <t>Drewbio</t>
  </si>
  <si>
    <t>CBH6063</t>
  </si>
  <si>
    <t>CBH6084</t>
  </si>
  <si>
    <t>CABAS</t>
  </si>
  <si>
    <t>C 501</t>
  </si>
  <si>
    <t>CBH6089</t>
  </si>
  <si>
    <t>ANALYZER, LABORATORY, URINE SEDIMENT</t>
  </si>
  <si>
    <t>UF-500I</t>
  </si>
  <si>
    <t>CBH6090</t>
  </si>
  <si>
    <t>YD DIAGNOSTIC</t>
  </si>
  <si>
    <t>URISCAN PRO</t>
  </si>
  <si>
    <t>CBH6085</t>
  </si>
  <si>
    <t>รอขึ้นทะเบียน</t>
  </si>
  <si>
    <t>Cobas 503</t>
  </si>
  <si>
    <t>Firmer</t>
  </si>
  <si>
    <t>BC-6200</t>
  </si>
  <si>
    <t>ANALYZER, LABORATORY, URINALYSIS</t>
  </si>
  <si>
    <t>LabUReader Plus2</t>
  </si>
  <si>
    <t>UriSed mini</t>
  </si>
  <si>
    <t>Hausen Bernstein</t>
  </si>
  <si>
    <t>Vision Pro-A</t>
  </si>
  <si>
    <t>ANALYZER, POINT-OF-CARE, WHOLE BLOOD, Troponin-T</t>
  </si>
  <si>
    <t>h 232</t>
  </si>
  <si>
    <t>UU14583848</t>
  </si>
  <si>
    <t>UU14628869</t>
  </si>
  <si>
    <t>Pipette 50uL</t>
  </si>
  <si>
    <t>Proline 50 µL</t>
  </si>
  <si>
    <t>DC_01/25/2855</t>
  </si>
  <si>
    <t>CBH3304</t>
  </si>
  <si>
    <t>PIPETTE 800 µL</t>
  </si>
  <si>
    <t>6515-038-5010/1/51</t>
  </si>
  <si>
    <t>CBH3405</t>
  </si>
  <si>
    <t>PLASTIC TUBING STERILE SEALER (เครื่องซีลสายถุงเลือด 1 ) สำรอง</t>
  </si>
  <si>
    <t>Teruseal</t>
  </si>
  <si>
    <t>8SE*2002</t>
  </si>
  <si>
    <t>6515-038-5010/3/54</t>
  </si>
  <si>
    <t>CBH3354</t>
  </si>
  <si>
    <t>PLASTIC TUBING STERILE SEALER (เครื่องซีลสายถุงเลือด 2 ) สำรอง</t>
  </si>
  <si>
    <t>SX1010</t>
  </si>
  <si>
    <t>6515-038-5010/1/59</t>
  </si>
  <si>
    <t>CBH3429</t>
  </si>
  <si>
    <t xml:space="preserve">PLASTIC TUBING STERILE SEALER (เครื่องซีลสายถุงเลือด 3 ) </t>
  </si>
  <si>
    <t>T-SEALII</t>
  </si>
  <si>
    <t>2008-10142</t>
  </si>
  <si>
    <t>6515-038-5010/5/62</t>
  </si>
  <si>
    <t>PLASTIC TUBING STERILE SEALER (เครื่องซีลสายถุงเลือด 4 )</t>
  </si>
  <si>
    <t>2018-09305</t>
  </si>
  <si>
    <t>6515-038-5010/6/63</t>
  </si>
  <si>
    <t>PLASTIC TUBING STERILE SEALER (เครื่องซีลสายถุงเลือด 5 )</t>
  </si>
  <si>
    <t>Hemoweld-T</t>
  </si>
  <si>
    <t>6515-006-0002/63/58</t>
  </si>
  <si>
    <t>CBH5572</t>
  </si>
  <si>
    <t>POCT  Hct Centrifuge</t>
  </si>
  <si>
    <t>Hettich</t>
  </si>
  <si>
    <t>Haematokrit 200</t>
  </si>
  <si>
    <t>0000508-00</t>
  </si>
  <si>
    <t>บ.ดีมาร์ค จำกัด</t>
  </si>
  <si>
    <t>DC_04/23/0778</t>
  </si>
  <si>
    <t>6515-006-0002/56/57</t>
  </si>
  <si>
    <t>Haematokrit 210</t>
  </si>
  <si>
    <t>0014692-03</t>
  </si>
  <si>
    <t>DC_04/23/0780</t>
  </si>
  <si>
    <t>6530-032-0001/15/45</t>
  </si>
  <si>
    <t>CBH3324</t>
  </si>
  <si>
    <t>Refrigerator    (  2-8  ๐ C  ) ตู้เย็นเก็บน้ำยา</t>
  </si>
  <si>
    <t>EVCO</t>
  </si>
  <si>
    <t>NC_00/23/0310</t>
  </si>
  <si>
    <t>min = 2.4 C , max =  4.4 C</t>
  </si>
  <si>
    <t>6515-039-5126/0065/60</t>
  </si>
  <si>
    <t>CBH7517</t>
  </si>
  <si>
    <t xml:space="preserve">Refrigerator   ( 2-8 ๐ C  ) </t>
  </si>
  <si>
    <t>Haier</t>
  </si>
  <si>
    <t>HYC-940</t>
  </si>
  <si>
    <t>BE03LME0M00QJH5B002</t>
  </si>
  <si>
    <t>NC_00/24/0735</t>
  </si>
  <si>
    <t>SANDEN INTERCOOL</t>
  </si>
  <si>
    <t>SNH-355</t>
  </si>
  <si>
    <t>SNH0355-211103122</t>
  </si>
  <si>
    <t>NC_00/24/0756</t>
  </si>
  <si>
    <t>min = -22.3 C , max =  -19.3 C</t>
  </si>
  <si>
    <t>6515-09-5126/48/59</t>
  </si>
  <si>
    <t>CBH6331</t>
  </si>
  <si>
    <t>MCD-30 TM</t>
  </si>
  <si>
    <t>16/4 MCD3 TM-5805-032</t>
  </si>
  <si>
    <t>NC_00/23/0303</t>
  </si>
  <si>
    <t>min = 1.8 C , max =  5.7 C</t>
  </si>
  <si>
    <t>6515-039-5126/0064/60</t>
  </si>
  <si>
    <t>CBH7516</t>
  </si>
  <si>
    <t>BE03LME0N00QJH560002</t>
  </si>
  <si>
    <t>NC_00/23/0304</t>
  </si>
  <si>
    <t>min = 5.6 C , max =  6.3 C</t>
  </si>
  <si>
    <t>6515-039-5126/0070/62</t>
  </si>
  <si>
    <t>ANTECH</t>
  </si>
  <si>
    <t>MPR-1006</t>
  </si>
  <si>
    <t>G1705000608</t>
  </si>
  <si>
    <t>NC_00/23/0302</t>
  </si>
  <si>
    <t>min = 5.4 C , max =  6.2 C</t>
  </si>
  <si>
    <t>ห้อง DRA</t>
  </si>
  <si>
    <t>(เครื่องบริษัท)</t>
  </si>
  <si>
    <t>CBH3485</t>
  </si>
  <si>
    <t>ANALYZER, LABORATORY, AUTOMATED  URINE (Uriscan)</t>
  </si>
  <si>
    <t>pass</t>
  </si>
  <si>
    <t>CBH3479</t>
  </si>
  <si>
    <t>ANALYZER, LABORATORY, AUTOMATED COAGULATION (PT,PTT)</t>
  </si>
  <si>
    <t>CA-1500</t>
  </si>
  <si>
    <t>NC_00/24/0749</t>
  </si>
  <si>
    <t>NC_00/24/0750</t>
  </si>
  <si>
    <t>6515-039-5126/42/57</t>
  </si>
  <si>
    <t>CBH3293</t>
  </si>
  <si>
    <t>BIOBASE</t>
  </si>
  <si>
    <t>BXC-AREZZO</t>
  </si>
  <si>
    <t>บ.ธเนศพัฒนา</t>
  </si>
  <si>
    <t>NC_00/24/0747</t>
  </si>
  <si>
    <t>min = 3.7 C , max =  7.7 C</t>
  </si>
  <si>
    <t>4110-001-0001/0391/63</t>
  </si>
  <si>
    <t>REFRIGERATOR  (  2-8  ๐ C  ) Working reagent 2 ประตู</t>
  </si>
  <si>
    <t>COOL plus</t>
  </si>
  <si>
    <t>COOL plus alarm</t>
  </si>
  <si>
    <t>Out sourse  PM</t>
  </si>
  <si>
    <t>6515-039-5126/001/66</t>
  </si>
  <si>
    <t>REFRIGERATOR  (  2-8  ๐ C  ) Working reagent 3 ประตู</t>
  </si>
  <si>
    <t>Medicool</t>
  </si>
  <si>
    <t>6515-038-2051/7/52</t>
  </si>
  <si>
    <t>CBH3288</t>
  </si>
  <si>
    <t>REFRIGERATOR  5 ประตู</t>
  </si>
  <si>
    <t>Sunhui</t>
  </si>
  <si>
    <t>LB05DO70</t>
  </si>
  <si>
    <t>ไทยประดิษฐ์เครื่องเย็น</t>
  </si>
  <si>
    <t>NC_00/24/0745</t>
  </si>
  <si>
    <t>6515-039-5126/49/59</t>
  </si>
  <si>
    <t>CBH6332</t>
  </si>
  <si>
    <t xml:space="preserve">Refrigerator (  2-8  ๐ C  ) </t>
  </si>
  <si>
    <t>ไทยประดิษฐ์</t>
  </si>
  <si>
    <t>MCD-30TM</t>
  </si>
  <si>
    <t>16/4-MCD3TM-5805-033</t>
  </si>
  <si>
    <t>--</t>
  </si>
  <si>
    <t>NC_00/23/0305</t>
  </si>
  <si>
    <t>min = 3.6 C , max =  5.7 C</t>
  </si>
  <si>
    <t>6515-039-5126/010/67</t>
  </si>
  <si>
    <t>MEDICOOL</t>
  </si>
  <si>
    <t>MDC510</t>
  </si>
  <si>
    <t>MDC510-202406026</t>
  </si>
  <si>
    <t>6515-100-0002/2/57</t>
  </si>
  <si>
    <t>CBH3364</t>
  </si>
  <si>
    <t>Refrigerator (  22  ๐ C  ) ตู้เก็บเกล็ดเลือด (1)</t>
  </si>
  <si>
    <t>HELMER</t>
  </si>
  <si>
    <t>PC2200h</t>
  </si>
  <si>
    <t>DC_02/24/1480</t>
  </si>
  <si>
    <t>min = 22.67 C , max = 23.31 C</t>
  </si>
  <si>
    <t>± 0.40 ๐ C</t>
  </si>
  <si>
    <t>min = 22.27 C , max = 23.71 C</t>
  </si>
  <si>
    <t>6515-039-5126/0071/62</t>
  </si>
  <si>
    <t>Refrigerator (  22  ๐ C  ) ตู้เก็บเกล็ดเลือด (2)</t>
  </si>
  <si>
    <t>PC2200H</t>
  </si>
  <si>
    <t>วินเนอร์ยี่</t>
  </si>
  <si>
    <t>DC_02/24/1485</t>
  </si>
  <si>
    <t>min = 22.16 C , max = 22.52 C</t>
  </si>
  <si>
    <t>min = 22.12 C , max = 22.56 C</t>
  </si>
  <si>
    <t>6515-039-5126/43/57</t>
  </si>
  <si>
    <t>CBH3294</t>
  </si>
  <si>
    <t>Refrigerator (-20  ๐ C  )</t>
  </si>
  <si>
    <t>DW-40L508</t>
  </si>
  <si>
    <t>BE05T7E1T00B2D3U0008</t>
  </si>
  <si>
    <t>BIO-Medical</t>
  </si>
  <si>
    <t>NC_00/24/0748</t>
  </si>
  <si>
    <t>min = -22.8 C , max =  -22.7 C</t>
  </si>
  <si>
    <t>6515-039-5126/0074/63</t>
  </si>
  <si>
    <t>Refrigerator (-80 ๐C)</t>
  </si>
  <si>
    <t>Meling</t>
  </si>
  <si>
    <t>DW-HL778S</t>
  </si>
  <si>
    <t>DC_02/24/1481</t>
  </si>
  <si>
    <t>min = -74.0 C, max = -76.3 C</t>
  </si>
  <si>
    <t xml:space="preserve"> ± 3.4C</t>
  </si>
  <si>
    <t>min = -70.6 C, max = -79.7 C</t>
  </si>
  <si>
    <t>?</t>
  </si>
  <si>
    <t>Refrigerator (22 ๐C)</t>
  </si>
  <si>
    <t>MDC 510</t>
  </si>
  <si>
    <t>MDC510-2021110128</t>
  </si>
  <si>
    <t>NC_00/24/0739</t>
  </si>
  <si>
    <t>min = 4.8 C , max = 8.4 C</t>
  </si>
  <si>
    <t>MDC510-202209028</t>
  </si>
  <si>
    <t>NC_00/24/0738</t>
  </si>
  <si>
    <t>min = 0.9 C , max = 6.9 C</t>
  </si>
  <si>
    <t>6515-039-5126/0055/60</t>
  </si>
  <si>
    <t>CBH7379</t>
  </si>
  <si>
    <t>Refrigerator, BLOOD BANK  (2-6 ๐ C  ) ตู้เย็นแช่เลือด 1</t>
  </si>
  <si>
    <t>HB 120</t>
  </si>
  <si>
    <t>DC_02/24/1488</t>
  </si>
  <si>
    <t>6515-038-2201/1/50</t>
  </si>
  <si>
    <t>CBH3377</t>
  </si>
  <si>
    <t>Refrigerator, BLOOD BANK  (2-6 ๐ C  ) ตู้เย็นแช่เลือด 2</t>
  </si>
  <si>
    <t>MELMER</t>
  </si>
  <si>
    <t>DC_02/24/1491</t>
  </si>
  <si>
    <t>min = 4.04 C , max = 4.68 C</t>
  </si>
  <si>
    <t>± 1.10 ๐ C</t>
  </si>
  <si>
    <t>min = 2.94 C , max = 5.78 C</t>
  </si>
  <si>
    <t>6515-038-2201/4/56</t>
  </si>
  <si>
    <t>CBH3331</t>
  </si>
  <si>
    <t>Refrigerator, BLOOD BANK  (2-6 ๐ C  ) ตู้เย็นแช่เลือด 3</t>
  </si>
  <si>
    <t>DC_02/24/1486</t>
  </si>
  <si>
    <t>min = 4.01 C , max = 4.56 C</t>
  </si>
  <si>
    <t>± 1.01 ๐ C</t>
  </si>
  <si>
    <t>min = 3.00 C , max = 5.57 C</t>
  </si>
  <si>
    <t>6515-038-2201/5/56</t>
  </si>
  <si>
    <t>CBH2556</t>
  </si>
  <si>
    <t>Refrigerator, BLOOD BANK  (2-6 ๐ C  ) ตู้เย็นแช่เลือด 4</t>
  </si>
  <si>
    <t>HB111</t>
  </si>
  <si>
    <t>DC_02/24/1479</t>
  </si>
  <si>
    <t>min = 3.69 C , max = 4.08 C</t>
  </si>
  <si>
    <t>± 1.30 ๐ C</t>
  </si>
  <si>
    <t>min = 3.39 C , max = 6.10 C</t>
  </si>
  <si>
    <t>6515-038-2201/2/50</t>
  </si>
  <si>
    <t>CBH3365</t>
  </si>
  <si>
    <t>Refrigerator, BLOOD BANK  (2-6 ๐ C  ) ตู้เย็นแช่เลือด 5</t>
  </si>
  <si>
    <t>HHB120</t>
  </si>
  <si>
    <t>DC_02/24/1489</t>
  </si>
  <si>
    <t>min = 3.96 C , max = 4.38 C</t>
  </si>
  <si>
    <t>± 1.42 ๐ C</t>
  </si>
  <si>
    <t>min = 2.54 C , max = 5.80 C</t>
  </si>
  <si>
    <t>6515-093-0001/2/40</t>
  </si>
  <si>
    <t>CBH3332</t>
  </si>
  <si>
    <t>Refrigerator, BLOOD BANK  (2-6 ๐ C  ) ตู้เย็นแช่เลือด 6</t>
  </si>
  <si>
    <t>MRB600</t>
  </si>
  <si>
    <t>DC_02/24/1490</t>
  </si>
  <si>
    <t>min = 3.87 C , max = 4.51 C</t>
  </si>
  <si>
    <t>± 1.13 ๐ C</t>
  </si>
  <si>
    <t>min = 2.74 C , max = 5.64 C</t>
  </si>
  <si>
    <t>6515-038-2201/3/55</t>
  </si>
  <si>
    <t>CBH3333</t>
  </si>
  <si>
    <t>Refrigerator, BLOOD BANK  (2-6 ๐ C  ) ตู้เย็นแช่เลือด 7</t>
  </si>
  <si>
    <t>DC_02/24/1487</t>
  </si>
  <si>
    <t>min = 3.67 C , max = 4.01 C</t>
  </si>
  <si>
    <t>± 1.21 ๐ C</t>
  </si>
  <si>
    <t>min = 2.46 C , max = 5.22 C</t>
  </si>
  <si>
    <t>6530-032-0001/18/45</t>
  </si>
  <si>
    <t>CBH3289</t>
  </si>
  <si>
    <t>REFRIGERATOR, PHARMACY</t>
  </si>
  <si>
    <t>SY-300</t>
  </si>
  <si>
    <t>6515-039-5126/2/47</t>
  </si>
  <si>
    <t>CBH3292</t>
  </si>
  <si>
    <t>PATTANA INTER COOL</t>
  </si>
  <si>
    <t>PT203</t>
  </si>
  <si>
    <t>6515-039-5126/0066/60</t>
  </si>
  <si>
    <t>CBH7518</t>
  </si>
  <si>
    <t>REFRIGERATOR(-20 ๐C)</t>
  </si>
  <si>
    <t>DW40L508</t>
  </si>
  <si>
    <t>BE05T3EAW00TH62003</t>
  </si>
  <si>
    <t>DC_02/25/0188</t>
  </si>
  <si>
    <t xml:space="preserve">REFRIGERATOR(2-8 ๐C) </t>
  </si>
  <si>
    <t>6530-032-0001/19/45</t>
  </si>
  <si>
    <t>CBH3321</t>
  </si>
  <si>
    <t>REFRIGERATOR(2-8 ๐C) Stock reagent</t>
  </si>
  <si>
    <t>6530-032-0001/17/45</t>
  </si>
  <si>
    <t>CBH3310</t>
  </si>
  <si>
    <t>REFRIGERATOR(2-8 ๐C) Working reagent</t>
  </si>
  <si>
    <t>6515-024-0004/8/56</t>
  </si>
  <si>
    <t>CBH6101</t>
  </si>
  <si>
    <t>ROTATOR</t>
  </si>
  <si>
    <t>RULLER MIXER</t>
  </si>
  <si>
    <t>RM500</t>
  </si>
  <si>
    <t>CBH3341</t>
  </si>
  <si>
    <t xml:space="preserve">ROTATOR </t>
  </si>
  <si>
    <t>Eurscan</t>
  </si>
  <si>
    <t>NC_00/24/0760</t>
  </si>
  <si>
    <t>6515-038-5005/1/47</t>
  </si>
  <si>
    <t>CBH3413</t>
  </si>
  <si>
    <t>ROTATOR  (เครื่องเขย่าถุงเลือด)</t>
  </si>
  <si>
    <t>HM-4</t>
  </si>
  <si>
    <t>6515-038-5005/2/47</t>
  </si>
  <si>
    <t>CBH3417</t>
  </si>
  <si>
    <t>CBH3418</t>
  </si>
  <si>
    <t>ROTATOR (เขย่าถุงเลือด)</t>
  </si>
  <si>
    <t>6515-024-0004/6/51</t>
  </si>
  <si>
    <t>CBH3423</t>
  </si>
  <si>
    <t>6515-024-0004/7/52</t>
  </si>
  <si>
    <t>CBH3420</t>
  </si>
  <si>
    <t>6515-100-0001/1/36</t>
  </si>
  <si>
    <t>CBH3422</t>
  </si>
  <si>
    <t>VRN-200</t>
  </si>
  <si>
    <t>6515-100-00001/3/43</t>
  </si>
  <si>
    <t>CBH3421</t>
  </si>
  <si>
    <t>NC_00/24/0761</t>
  </si>
  <si>
    <t>6515-024-0004/4/49</t>
  </si>
  <si>
    <t>CBH3254</t>
  </si>
  <si>
    <t>ROTATOR (อ่านฏิกริยา Agglutination)</t>
  </si>
  <si>
    <t>NC_00/24/0758</t>
  </si>
  <si>
    <t>6515-024-0004/5/50</t>
  </si>
  <si>
    <t>CBH3266</t>
  </si>
  <si>
    <t>NC_00/24/0757</t>
  </si>
  <si>
    <t>SCALE, CLINICAL, LABORATORY(ไฟส่องพร้อมเลนส์ขยาย)</t>
  </si>
  <si>
    <t>OHAUS</t>
  </si>
  <si>
    <t>PIONEER</t>
  </si>
  <si>
    <t>CBH3302</t>
  </si>
  <si>
    <t>SCALE, PATIENT, FLOOR (เครื่องชั่ง) (Capacity 4,100 g ,Resolution 0.01 g)</t>
  </si>
  <si>
    <t>PA4102</t>
  </si>
  <si>
    <t>Out sourse  CAL ตัวอ่าน ( ISO 17025)</t>
  </si>
  <si>
    <t>DC_02/24/1529</t>
  </si>
  <si>
    <t>Standard Weight</t>
  </si>
  <si>
    <t>LS</t>
  </si>
  <si>
    <t>500 g</t>
  </si>
  <si>
    <t>S500G1997-16 (0609-001-005)</t>
  </si>
  <si>
    <t>C02241128</t>
  </si>
  <si>
    <t>6530-003-1413661</t>
  </si>
  <si>
    <t>CBH7979</t>
  </si>
  <si>
    <t>STERILIZING UNIT, LIQUID  (Autoclave)</t>
  </si>
  <si>
    <t>Uniclave Zealway</t>
  </si>
  <si>
    <t>FD100R</t>
  </si>
  <si>
    <t>F7154003</t>
  </si>
  <si>
    <t>DC_02/24/1526</t>
  </si>
  <si>
    <t>6530-003-1413/4/57</t>
  </si>
  <si>
    <t>CBH3316</t>
  </si>
  <si>
    <t>DAIHAN SCIENTIFIC</t>
  </si>
  <si>
    <t>WISD</t>
  </si>
  <si>
    <t>100013913A7001</t>
  </si>
  <si>
    <t>DC_02/24/1527</t>
  </si>
  <si>
    <t>6530-003-0004/001/65</t>
  </si>
  <si>
    <t>STERILIZING UNIT, STEAM (Autoclave)</t>
  </si>
  <si>
    <t>TOMY</t>
  </si>
  <si>
    <t>FLS-1000</t>
  </si>
  <si>
    <t>DC_02/24/1525</t>
  </si>
  <si>
    <t>6530-003-4420/001/67</t>
  </si>
  <si>
    <t>ALP</t>
  </si>
  <si>
    <t>CLM-40L</t>
  </si>
  <si>
    <t>บ.ยูโรสแกน</t>
  </si>
  <si>
    <t>STOP WATCH</t>
  </si>
  <si>
    <t>JUMBO</t>
  </si>
  <si>
    <t>WB-388</t>
  </si>
  <si>
    <t>CBH6356</t>
  </si>
  <si>
    <t>Oregon</t>
  </si>
  <si>
    <t>CBH6361</t>
  </si>
  <si>
    <t>CITIZEN</t>
  </si>
  <si>
    <t>CBH6362</t>
  </si>
  <si>
    <t>CBH6364</t>
  </si>
  <si>
    <t>CANON</t>
  </si>
  <si>
    <t>CT-2</t>
  </si>
  <si>
    <t>CBH6365</t>
  </si>
  <si>
    <t>CBH6366</t>
  </si>
  <si>
    <t>CBH6098</t>
  </si>
  <si>
    <t>CBH6348</t>
  </si>
  <si>
    <t>OREGON</t>
  </si>
  <si>
    <t>TR118</t>
  </si>
  <si>
    <t>CBH6349</t>
  </si>
  <si>
    <t>THERMO-HYGO METER (อุณหภูมิ &amp;ความชื้น)</t>
  </si>
  <si>
    <t>23H0630</t>
  </si>
  <si>
    <t>0.3017 C, -3.01 %RH</t>
  </si>
  <si>
    <t>0.3937 C, -4.91 %RH</t>
  </si>
  <si>
    <t>Lab-TMP-062-004</t>
  </si>
  <si>
    <t>CBH8195</t>
  </si>
  <si>
    <t>23H0816</t>
  </si>
  <si>
    <t>Lab-TMP-062-008</t>
  </si>
  <si>
    <t>CBH8199</t>
  </si>
  <si>
    <t>DC_12/25/0050</t>
  </si>
  <si>
    <t>23H0588</t>
  </si>
  <si>
    <t>0.1017 C</t>
  </si>
  <si>
    <t>0.1937 C</t>
  </si>
  <si>
    <t>CBH4320</t>
  </si>
  <si>
    <t>Lab-TMP-062-020</t>
  </si>
  <si>
    <t>CBH7089</t>
  </si>
  <si>
    <t>THERMO-HYGO METER (อุณหภูมิ &amp;ความชื้น) (วัดอุณหภูมิห้องเตรียมเลือด)</t>
  </si>
  <si>
    <t>THERMO-HYGO METER (อุณหภูมิ &amp;ความชื้น) (วัดอุณหภูมิห้องแยกส่วนประกอบของเลือด)</t>
  </si>
  <si>
    <t>CBH7088</t>
  </si>
  <si>
    <t>THERMO-HYGO METER (อุณหภูมิ &amp;ความชื้น) (วัดอุณหภูมิห้องรับบริจาคโลหิต)</t>
  </si>
  <si>
    <t>23H0624</t>
  </si>
  <si>
    <t>-0.0983 C , 6.09%RH</t>
  </si>
  <si>
    <t>-0.1903 C , 7.99 %RH</t>
  </si>
  <si>
    <t>CBH7086</t>
  </si>
  <si>
    <t>THERMO-HYGO METER (อุณหภูมิ &amp;ความชื้น)(วัดอุณหภูมิห้องคัดกรองเลือดผู้บริจาค)</t>
  </si>
  <si>
    <t>CBH3404</t>
  </si>
  <si>
    <t>THERMOPLASTIC TUBING STERILE SEALER (เครื่องเชื่อมสายถุงเลือด)</t>
  </si>
  <si>
    <t>SCD-II</t>
  </si>
  <si>
    <t>Transfer Pipette 200 µL</t>
  </si>
  <si>
    <t>Transfer Pipette 50 µL</t>
  </si>
  <si>
    <t>HumanPette Smart-Line</t>
  </si>
  <si>
    <t>CP55970</t>
  </si>
  <si>
    <t>Transfer Pipette 500 µL</t>
  </si>
  <si>
    <t>CP34037</t>
  </si>
  <si>
    <t>6515-038-5001/3/54</t>
  </si>
  <si>
    <t>CBH3406</t>
  </si>
  <si>
    <t>TUBE WARMING (เครื่องอุ่นหลอดเลือด 1 )</t>
  </si>
  <si>
    <t>Q.nic</t>
  </si>
  <si>
    <t>DB-66</t>
  </si>
  <si>
    <t>NC_00/24/0754</t>
  </si>
  <si>
    <t>min = 37.0 C , max =  37.5 C</t>
  </si>
  <si>
    <t>± 0.90 ๐ C</t>
  </si>
  <si>
    <t>min = 36.1 C , max =  38.4 C</t>
  </si>
  <si>
    <t>6515-038-5001/5/59</t>
  </si>
  <si>
    <t>CBH6806</t>
  </si>
  <si>
    <t>TUBE WARMING (เครื่องอุ่นหลอดเลือด 2 )</t>
  </si>
  <si>
    <t>NC_00/24/0715</t>
  </si>
  <si>
    <t>min = 37.2 C , max =  37.3 C</t>
  </si>
  <si>
    <t>min = 36.3 C , max =  38.2 C</t>
  </si>
  <si>
    <t>6515-038-5001/4/59</t>
  </si>
  <si>
    <t>CBH6794</t>
  </si>
  <si>
    <t>TUBE WARMING (เครื่องอุ่นหลอดเลือด 3 )</t>
  </si>
  <si>
    <t>เครื่องเผาloop</t>
  </si>
  <si>
    <t>McCormick scientific</t>
  </si>
  <si>
    <t>10 2008</t>
  </si>
  <si>
    <t>10080136-3</t>
  </si>
  <si>
    <t>10080135-3</t>
  </si>
  <si>
    <t>CBH3295</t>
  </si>
  <si>
    <t>ANALYZER, LABORATORY, MICROBIOLOGY, CULTURE MTB</t>
  </si>
  <si>
    <t>BECTON DICKINSON</t>
  </si>
  <si>
    <t>BACTEC MGIT 960</t>
  </si>
  <si>
    <t>MG2405</t>
  </si>
  <si>
    <t>บ.Becton dickinson</t>
  </si>
  <si>
    <t>CBH3277</t>
  </si>
  <si>
    <t>ANALYZER, LABORATORY, MICROBIOLOGY, BLOOD CULTURE</t>
  </si>
  <si>
    <t>BACTEC FX</t>
  </si>
  <si>
    <t>FT0181,FB0585</t>
  </si>
  <si>
    <t>CBH3278</t>
  </si>
  <si>
    <t>FT2962,FB0772</t>
  </si>
  <si>
    <t>ANALYZER, LABORATORY, MICROBIOLOGY, CULTURE BACTERIA</t>
  </si>
  <si>
    <t>Phoenix M50</t>
  </si>
  <si>
    <t>PF0093</t>
  </si>
  <si>
    <t>ANALYZER, LABORATORY, MICROBIOLOGY, CULTURE SENSITITRE, VIZION</t>
  </si>
  <si>
    <t>THERMO SCIENTIFIC</t>
  </si>
  <si>
    <t>VIZION</t>
  </si>
  <si>
    <t>บ.CLINICAL DIAGNOSIS</t>
  </si>
  <si>
    <t>ANALYZER, LABORATORY, MICROBIOLOGY, CULTURE SENSITITRE, AIM</t>
  </si>
  <si>
    <t>AIM</t>
  </si>
  <si>
    <t>CBH6270</t>
  </si>
  <si>
    <t>ANALYZER, LABORATORY, MICROBIOLOGY, GENEXPERT real time PCR</t>
  </si>
  <si>
    <t>CEPHEID</t>
  </si>
  <si>
    <t>GX-IV R2</t>
  </si>
  <si>
    <t>บ.Cepheid</t>
  </si>
  <si>
    <t>GX-IV R3</t>
  </si>
  <si>
    <t>CBH3296</t>
  </si>
  <si>
    <t>BECKMAN COULTER</t>
  </si>
  <si>
    <t>X-15R ALP10F42</t>
  </si>
  <si>
    <t>บ.Beckman Coulter</t>
  </si>
  <si>
    <t>DC_09/24/1533</t>
  </si>
  <si>
    <t>MALDI-TOF mass spectrometry</t>
  </si>
  <si>
    <t>Bruker MBT MALDI biotyper</t>
  </si>
  <si>
    <t>microflex LT/SH</t>
  </si>
  <si>
    <t>บ.Becton dickinsonและBruker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</si>
</sst>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THB]\ #,##0.00"/>
    <numFmt numFmtId="165" formatCode="[$-1010409]d\ mmm\ yy"/>
    <numFmt numFmtId="166" formatCode="yyyy\-mm"/>
    <numFmt numFmtId="167" formatCode="000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Sarabun"/>
    </font>
    <font>
      <sz val="14.0"/>
      <color theme="1"/>
      <name val="Sarabun"/>
    </font>
    <font/>
    <font>
      <b/>
      <sz val="20.0"/>
      <color theme="1"/>
      <name val="Sarabun"/>
    </font>
    <font>
      <sz val="20.0"/>
      <color theme="1"/>
      <name val="Sarabun"/>
    </font>
    <font>
      <b/>
      <sz val="15.0"/>
      <color theme="1"/>
      <name val="Sarabun"/>
    </font>
    <font>
      <sz val="20.0"/>
      <color theme="1"/>
      <name val="Calibri"/>
    </font>
    <font>
      <u/>
      <sz val="20.0"/>
      <color theme="1"/>
      <name val="Sarabun"/>
    </font>
    <font>
      <sz val="20.0"/>
      <color rgb="FF434343"/>
      <name val="Sarabun"/>
    </font>
    <font>
      <u/>
      <sz val="20.0"/>
      <color rgb="FF0000FF"/>
      <name val="Sarabun"/>
    </font>
    <font>
      <sz val="11.0"/>
      <color theme="1"/>
      <name val="Sarabun"/>
    </font>
  </fonts>
  <fills count="13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3" fillId="7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shrinkToFit="0" wrapText="1"/>
    </xf>
    <xf borderId="6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9" fillId="5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9" fillId="6" fontId="3" numFmtId="0" xfId="0" applyAlignment="1" applyBorder="1" applyFont="1">
      <alignment horizontal="center" vertical="center"/>
    </xf>
    <xf borderId="6" fillId="7" fontId="3" numFmtId="0" xfId="0" applyAlignment="1" applyBorder="1" applyFont="1">
      <alignment horizontal="center" shrinkToFit="0" vertical="center" wrapText="1"/>
    </xf>
    <xf borderId="12" fillId="6" fontId="3" numFmtId="0" xfId="0" applyAlignment="1" applyBorder="1" applyFont="1">
      <alignment horizontal="center" vertical="center"/>
    </xf>
    <xf borderId="8" fillId="7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0" fillId="0" fontId="1" numFmtId="0" xfId="0" applyFont="1"/>
    <xf borderId="15" fillId="0" fontId="3" numFmtId="0" xfId="0" applyAlignment="1" applyBorder="1" applyFont="1">
      <alignment horizontal="left"/>
    </xf>
    <xf borderId="16" fillId="3" fontId="3" numFmtId="0" xfId="0" applyAlignment="1" applyBorder="1" applyFont="1">
      <alignment horizontal="left"/>
    </xf>
    <xf borderId="12" fillId="3" fontId="3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left"/>
    </xf>
    <xf borderId="12" fillId="4" fontId="3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center" vertical="center"/>
    </xf>
    <xf borderId="17" fillId="7" fontId="3" numFmtId="0" xfId="0" applyAlignment="1" applyBorder="1" applyFont="1">
      <alignment horizontal="center" vertical="center"/>
    </xf>
    <xf borderId="15" fillId="0" fontId="3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left"/>
    </xf>
    <xf borderId="19" fillId="3" fontId="3" numFmtId="0" xfId="0" applyAlignment="1" applyBorder="1" applyFont="1">
      <alignment horizontal="left"/>
    </xf>
    <xf borderId="20" fillId="3" fontId="3" numFmtId="0" xfId="0" applyAlignment="1" applyBorder="1" applyFont="1">
      <alignment horizontal="center" vertical="center"/>
    </xf>
    <xf borderId="21" fillId="3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left"/>
    </xf>
    <xf borderId="20" fillId="4" fontId="3" numFmtId="0" xfId="0" applyAlignment="1" applyBorder="1" applyFont="1">
      <alignment horizontal="center" vertical="center"/>
    </xf>
    <xf borderId="21" fillId="4" fontId="3" numFmtId="0" xfId="0" applyAlignment="1" applyBorder="1" applyFont="1">
      <alignment horizontal="center" vertical="center"/>
    </xf>
    <xf borderId="19" fillId="7" fontId="3" numFmtId="0" xfId="0" applyAlignment="1" applyBorder="1" applyFont="1">
      <alignment horizontal="center" vertical="center"/>
    </xf>
    <xf borderId="20" fillId="6" fontId="3" numFmtId="0" xfId="0" applyAlignment="1" applyBorder="1" applyFont="1">
      <alignment horizontal="center" vertical="center"/>
    </xf>
    <xf borderId="21" fillId="7" fontId="3" numFmtId="0" xfId="0" applyAlignment="1" applyBorder="1" applyFont="1">
      <alignment horizontal="center" vertical="center"/>
    </xf>
    <xf borderId="18" fillId="0" fontId="3" numFmtId="164" xfId="0" applyAlignment="1" applyBorder="1" applyFont="1" applyNumberFormat="1">
      <alignment horizontal="center" vertical="center"/>
    </xf>
    <xf borderId="15" fillId="0" fontId="3" numFmtId="0" xfId="0" applyBorder="1" applyFont="1"/>
    <xf borderId="16" fillId="3" fontId="3" numFmtId="0" xfId="0" applyBorder="1" applyFont="1"/>
    <xf borderId="16" fillId="4" fontId="3" numFmtId="0" xfId="0" applyBorder="1" applyFont="1"/>
    <xf borderId="22" fillId="0" fontId="3" numFmtId="0" xfId="0" applyBorder="1" applyFont="1"/>
    <xf borderId="23" fillId="3" fontId="3" numFmtId="0" xfId="0" applyBorder="1" applyFont="1"/>
    <xf borderId="24" fillId="3" fontId="3" numFmtId="0" xfId="0" applyAlignment="1" applyBorder="1" applyFont="1">
      <alignment horizontal="center" vertical="center"/>
    </xf>
    <xf borderId="25" fillId="3" fontId="3" numFmtId="0" xfId="0" applyAlignment="1" applyBorder="1" applyFont="1">
      <alignment horizontal="center" vertical="center"/>
    </xf>
    <xf borderId="23" fillId="4" fontId="3" numFmtId="0" xfId="0" applyBorder="1" applyFont="1"/>
    <xf borderId="24" fillId="4" fontId="3" numFmtId="0" xfId="0" applyAlignment="1" applyBorder="1" applyFont="1">
      <alignment horizontal="center" vertical="center"/>
    </xf>
    <xf borderId="25" fillId="4" fontId="3" numFmtId="0" xfId="0" applyAlignment="1" applyBorder="1" applyFont="1">
      <alignment horizontal="center" vertical="center"/>
    </xf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3" fillId="7" fontId="3" numFmtId="0" xfId="0" applyAlignment="1" applyBorder="1" applyFont="1">
      <alignment horizontal="center" vertical="center"/>
    </xf>
    <xf borderId="24" fillId="6" fontId="3" numFmtId="0" xfId="0" applyAlignment="1" applyBorder="1" applyFont="1">
      <alignment horizontal="center" vertical="center"/>
    </xf>
    <xf borderId="25" fillId="7" fontId="3" numFmtId="0" xfId="0" applyAlignment="1" applyBorder="1" applyFont="1">
      <alignment horizontal="center" vertical="center"/>
    </xf>
    <xf borderId="22" fillId="0" fontId="3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29" fillId="0" fontId="5" numFmtId="0" xfId="0" applyAlignment="1" applyBorder="1" applyFont="1">
      <alignment horizontal="center" vertical="center"/>
    </xf>
    <xf borderId="29" fillId="0" fontId="4" numFmtId="0" xfId="0" applyBorder="1" applyFont="1"/>
    <xf borderId="0" fillId="0" fontId="6" numFmtId="0" xfId="0" applyAlignment="1" applyFont="1">
      <alignment horizontal="center"/>
    </xf>
    <xf borderId="30" fillId="0" fontId="5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30" fillId="0" fontId="5" numFmtId="49" xfId="0" applyAlignment="1" applyBorder="1" applyFont="1" applyNumberFormat="1">
      <alignment horizontal="center" shrinkToFit="0" vertical="center" wrapText="1"/>
    </xf>
    <xf borderId="30" fillId="0" fontId="5" numFmtId="165" xfId="0" applyAlignment="1" applyBorder="1" applyFont="1" applyNumberFormat="1">
      <alignment horizontal="center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center" shrinkToFit="0" vertical="center" wrapText="1"/>
    </xf>
    <xf borderId="33" fillId="0" fontId="6" numFmtId="0" xfId="0" applyBorder="1" applyFont="1"/>
    <xf borderId="33" fillId="0" fontId="6" numFmtId="1" xfId="0" applyBorder="1" applyFont="1" applyNumberFormat="1"/>
    <xf borderId="30" fillId="0" fontId="6" numFmtId="0" xfId="0" applyBorder="1" applyFont="1"/>
    <xf borderId="33" fillId="0" fontId="6" numFmtId="14" xfId="0" applyBorder="1" applyFont="1" applyNumberFormat="1"/>
    <xf borderId="33" fillId="0" fontId="6" numFmtId="49" xfId="0" applyBorder="1" applyFont="1" applyNumberFormat="1"/>
    <xf borderId="12" fillId="0" fontId="6" numFmtId="0" xfId="0" applyBorder="1" applyFont="1"/>
    <xf borderId="12" fillId="0" fontId="6" numFmtId="1" xfId="0" applyBorder="1" applyFont="1" applyNumberFormat="1"/>
    <xf borderId="12" fillId="0" fontId="6" numFmtId="14" xfId="0" applyBorder="1" applyFont="1" applyNumberFormat="1"/>
    <xf borderId="12" fillId="0" fontId="6" numFmtId="49" xfId="0" applyBorder="1" applyFont="1" applyNumberFormat="1"/>
    <xf borderId="12" fillId="8" fontId="6" numFmtId="0" xfId="0" applyBorder="1" applyFill="1" applyFont="1"/>
    <xf borderId="12" fillId="8" fontId="6" numFmtId="1" xfId="0" applyBorder="1" applyFont="1" applyNumberFormat="1"/>
    <xf borderId="12" fillId="8" fontId="6" numFmtId="1" xfId="0" applyAlignment="1" applyBorder="1" applyFont="1" applyNumberFormat="1">
      <alignment horizontal="center"/>
    </xf>
    <xf borderId="12" fillId="8" fontId="6" numFmtId="0" xfId="0" applyAlignment="1" applyBorder="1" applyFont="1">
      <alignment horizontal="center"/>
    </xf>
    <xf borderId="12" fillId="8" fontId="6" numFmtId="14" xfId="0" applyBorder="1" applyFont="1" applyNumberFormat="1"/>
    <xf borderId="12" fillId="0" fontId="6" numFmtId="0" xfId="0" applyAlignment="1" applyBorder="1" applyFont="1">
      <alignment horizontal="left"/>
    </xf>
    <xf borderId="12" fillId="0" fontId="1" numFmtId="0" xfId="0" applyBorder="1" applyFont="1"/>
    <xf borderId="12" fillId="0" fontId="6" numFmtId="0" xfId="0" applyAlignment="1" applyBorder="1" applyFont="1">
      <alignment horizontal="right"/>
    </xf>
    <xf borderId="12" fillId="0" fontId="6" numFmtId="14" xfId="0" applyAlignment="1" applyBorder="1" applyFont="1" applyNumberFormat="1">
      <alignment horizontal="center"/>
    </xf>
    <xf borderId="12" fillId="0" fontId="6" numFmtId="14" xfId="0" applyAlignment="1" applyBorder="1" applyFont="1" applyNumberFormat="1">
      <alignment horizontal="right"/>
    </xf>
    <xf borderId="12" fillId="0" fontId="1" numFmtId="14" xfId="0" applyBorder="1" applyFont="1" applyNumberFormat="1"/>
    <xf borderId="12" fillId="0" fontId="8" numFmtId="0" xfId="0" applyBorder="1" applyFont="1"/>
    <xf borderId="12" fillId="0" fontId="6" numFmtId="166" xfId="0" applyBorder="1" applyFont="1" applyNumberFormat="1"/>
    <xf borderId="12" fillId="0" fontId="6" numFmtId="1" xfId="0" applyAlignment="1" applyBorder="1" applyFont="1" applyNumberFormat="1">
      <alignment horizontal="center"/>
    </xf>
    <xf borderId="12" fillId="0" fontId="6" numFmtId="0" xfId="0" applyAlignment="1" applyBorder="1" applyFont="1">
      <alignment horizontal="center"/>
    </xf>
    <xf borderId="12" fillId="0" fontId="6" numFmtId="15" xfId="0" applyAlignment="1" applyBorder="1" applyFont="1" applyNumberFormat="1">
      <alignment horizontal="center"/>
    </xf>
    <xf borderId="12" fillId="0" fontId="6" numFmtId="167" xfId="0" applyBorder="1" applyFont="1" applyNumberFormat="1"/>
    <xf borderId="12" fillId="9" fontId="6" numFmtId="0" xfId="0" applyBorder="1" applyFill="1" applyFont="1"/>
    <xf borderId="12" fillId="9" fontId="6" numFmtId="1" xfId="0" applyBorder="1" applyFont="1" applyNumberFormat="1"/>
    <xf borderId="12" fillId="9" fontId="6" numFmtId="1" xfId="0" applyAlignment="1" applyBorder="1" applyFont="1" applyNumberFormat="1">
      <alignment horizontal="center"/>
    </xf>
    <xf borderId="12" fillId="9" fontId="6" numFmtId="0" xfId="0" applyAlignment="1" applyBorder="1" applyFont="1">
      <alignment horizontal="center"/>
    </xf>
    <xf borderId="12" fillId="9" fontId="6" numFmtId="14" xfId="0" applyBorder="1" applyFont="1" applyNumberFormat="1"/>
    <xf borderId="12" fillId="0" fontId="6" numFmtId="14" xfId="0" applyAlignment="1" applyBorder="1" applyFont="1" applyNumberFormat="1">
      <alignment horizontal="left"/>
    </xf>
    <xf borderId="12" fillId="0" fontId="9" numFmtId="0" xfId="0" applyBorder="1" applyFont="1"/>
    <xf borderId="12" fillId="9" fontId="6" numFmtId="49" xfId="0" applyBorder="1" applyFont="1" applyNumberFormat="1"/>
    <xf borderId="12" fillId="10" fontId="6" numFmtId="0" xfId="0" applyBorder="1" applyFill="1" applyFont="1"/>
    <xf borderId="12" fillId="0" fontId="6" numFmtId="4" xfId="0" applyBorder="1" applyFont="1" applyNumberFormat="1"/>
    <xf borderId="12" fillId="11" fontId="10" numFmtId="14" xfId="0" applyAlignment="1" applyBorder="1" applyFill="1" applyFont="1" applyNumberFormat="1">
      <alignment horizontal="left"/>
    </xf>
    <xf borderId="12" fillId="11" fontId="10" numFmtId="0" xfId="0" applyAlignment="1" applyBorder="1" applyFont="1">
      <alignment horizontal="left"/>
    </xf>
    <xf borderId="12" fillId="0" fontId="11" numFmtId="0" xfId="0" applyBorder="1" applyFont="1"/>
    <xf borderId="12" fillId="0" fontId="12" numFmtId="166" xfId="0" applyBorder="1" applyFont="1" applyNumberFormat="1"/>
    <xf borderId="12" fillId="12" fontId="6" numFmtId="14" xfId="0" applyBorder="1" applyFill="1" applyFont="1" applyNumberFormat="1"/>
    <xf borderId="12" fillId="11" fontId="6" numFmtId="14" xfId="0" applyBorder="1" applyFont="1" applyNumberFormat="1"/>
    <xf borderId="12" fillId="0" fontId="5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49" xfId="0" applyAlignment="1" applyBorder="1" applyFont="1" applyNumberFormat="1">
      <alignment horizontal="center" shrinkToFit="0" vertical="center" wrapText="1"/>
    </xf>
    <xf borderId="12" fillId="0" fontId="5" numFmtId="165" xfId="0" applyAlignment="1" applyBorder="1" applyFont="1" applyNumberFormat="1">
      <alignment horizontal="center" shrinkToFit="0" vertical="center" wrapText="1"/>
    </xf>
    <xf borderId="12" fillId="8" fontId="6" numFmtId="49" xfId="0" applyBorder="1" applyFont="1" applyNumberFormat="1"/>
    <xf borderId="12" fillId="0" fontId="1" numFmtId="0" xfId="0" applyAlignment="1" applyBorder="1" applyFont="1">
      <alignment horizontal="center"/>
    </xf>
    <xf borderId="12" fillId="9" fontId="6" numFmtId="0" xfId="0" applyAlignment="1" applyBorder="1" applyFont="1">
      <alignment horizontal="right"/>
    </xf>
    <xf borderId="12" fillId="9" fontId="6" numFmtId="15" xfId="0" applyBorder="1" applyFont="1" applyNumberFormat="1"/>
    <xf borderId="12" fillId="9" fontId="6" numFmtId="167" xfId="0" applyBorder="1" applyFont="1" applyNumberFormat="1"/>
    <xf borderId="12" fillId="9" fontId="1" numFmtId="0" xfId="0" applyBorder="1" applyFont="1"/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7eyEBwv2pYiQApw0Pdd-iotXBKdIAtqH/view?usp=sharing" TargetMode="External"/><Relationship Id="rId3" Type="http://schemas.openxmlformats.org/officeDocument/2006/relationships/hyperlink" Target="https://drive.google.com/file/d/17eyEBwv2pYiQApw0Pdd-iotXBKdIAtqH/view?pli=1" TargetMode="External"/><Relationship Id="rId4" Type="http://schemas.openxmlformats.org/officeDocument/2006/relationships/hyperlink" Target="https://drive.google.com/file/d/17eyEBwv2pYiQApw0Pdd-iotXBKdIAtqH/view?pli=1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2.71"/>
    <col customWidth="1" hidden="1" min="3" max="3" width="8.57"/>
    <col customWidth="1" min="4" max="5" width="8.57"/>
    <col customWidth="1" hidden="1" min="6" max="6" width="8.57"/>
    <col customWidth="1" min="7" max="8" width="8.57"/>
    <col customWidth="1" hidden="1" min="9" max="9" width="8.57"/>
    <col customWidth="1" min="10" max="11" width="8.57"/>
    <col customWidth="1" hidden="1" min="12" max="12" width="8.57"/>
    <col customWidth="1" min="13" max="14" width="8.57"/>
    <col customWidth="1" hidden="1" min="15" max="15" width="8.57"/>
    <col customWidth="1" min="16" max="17" width="8.57"/>
    <col customWidth="1" min="18" max="18" width="12.57"/>
    <col customWidth="1" min="19" max="19" width="15.14"/>
    <col customWidth="1" min="20" max="26" width="8.0"/>
  </cols>
  <sheetData>
    <row r="1" ht="87.0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1" t="s">
        <v>9</v>
      </c>
      <c r="L1" s="12" t="s">
        <v>10</v>
      </c>
      <c r="M1" s="13" t="s">
        <v>11</v>
      </c>
      <c r="N1" s="14" t="s">
        <v>12</v>
      </c>
      <c r="O1" s="15" t="s">
        <v>13</v>
      </c>
      <c r="P1" s="16" t="s">
        <v>14</v>
      </c>
      <c r="Q1" s="17" t="s">
        <v>15</v>
      </c>
      <c r="R1" s="18" t="s">
        <v>16</v>
      </c>
      <c r="S1" s="18" t="s">
        <v>17</v>
      </c>
      <c r="T1" s="1"/>
      <c r="U1" s="1"/>
      <c r="V1" s="1"/>
      <c r="W1" s="1"/>
      <c r="X1" s="1"/>
      <c r="Y1" s="1"/>
      <c r="Z1" s="1"/>
    </row>
    <row r="2" ht="21.75" customHeight="1">
      <c r="A2" s="1"/>
      <c r="B2" s="19" t="s">
        <v>18</v>
      </c>
      <c r="C2" s="20"/>
      <c r="D2" s="21">
        <v>5.0</v>
      </c>
      <c r="E2" s="22"/>
      <c r="F2" s="23"/>
      <c r="G2" s="24"/>
      <c r="H2" s="25"/>
      <c r="I2" s="26" t="s">
        <v>19</v>
      </c>
      <c r="J2" s="27"/>
      <c r="K2" s="28"/>
      <c r="L2" s="29" t="s">
        <v>19</v>
      </c>
      <c r="M2" s="27"/>
      <c r="N2" s="28"/>
      <c r="O2" s="30"/>
      <c r="P2" s="31">
        <v>15.0</v>
      </c>
      <c r="Q2" s="32">
        <v>15.0</v>
      </c>
      <c r="R2" s="33">
        <f>4066*Q2</f>
        <v>60990</v>
      </c>
      <c r="S2" s="33">
        <f>R2*Q2</f>
        <v>914850</v>
      </c>
      <c r="T2" s="1"/>
      <c r="U2" s="1"/>
      <c r="V2" s="1"/>
      <c r="W2" s="1"/>
      <c r="X2" s="1"/>
      <c r="Y2" s="1"/>
      <c r="Z2" s="1"/>
    </row>
    <row r="3" ht="43.5" customHeight="1">
      <c r="A3" s="1"/>
      <c r="B3" s="19" t="s">
        <v>20</v>
      </c>
      <c r="C3" s="20"/>
      <c r="D3" s="21"/>
      <c r="E3" s="22"/>
      <c r="F3" s="23"/>
      <c r="G3" s="24"/>
      <c r="H3" s="25"/>
      <c r="I3" s="34"/>
      <c r="K3" s="35"/>
      <c r="L3" s="34"/>
      <c r="N3" s="35"/>
      <c r="O3" s="30"/>
      <c r="P3" s="31">
        <v>240.0</v>
      </c>
      <c r="Q3" s="32"/>
      <c r="R3" s="33"/>
      <c r="S3" s="33"/>
      <c r="T3" s="1"/>
      <c r="U3" s="1"/>
      <c r="V3" s="1"/>
      <c r="W3" s="1"/>
      <c r="X3" s="1"/>
      <c r="Y3" s="1"/>
      <c r="Z3" s="1"/>
    </row>
    <row r="4" ht="21.75" customHeight="1">
      <c r="A4" s="36"/>
      <c r="B4" s="37" t="s">
        <v>21</v>
      </c>
      <c r="C4" s="38"/>
      <c r="D4" s="39">
        <v>2.0</v>
      </c>
      <c r="E4" s="40"/>
      <c r="F4" s="41"/>
      <c r="G4" s="42">
        <v>2.0</v>
      </c>
      <c r="H4" s="43">
        <v>2.0</v>
      </c>
      <c r="I4" s="34"/>
      <c r="K4" s="35"/>
      <c r="L4" s="34"/>
      <c r="N4" s="35"/>
      <c r="O4" s="44"/>
      <c r="P4" s="31">
        <v>4.0</v>
      </c>
      <c r="Q4" s="45">
        <v>3.0</v>
      </c>
      <c r="R4" s="46">
        <v>1500.0</v>
      </c>
      <c r="S4" s="33">
        <f>R4*Q4</f>
        <v>4500</v>
      </c>
      <c r="T4" s="36"/>
      <c r="U4" s="36"/>
      <c r="V4" s="36"/>
      <c r="W4" s="36"/>
      <c r="X4" s="36"/>
      <c r="Y4" s="36"/>
      <c r="Z4" s="36"/>
    </row>
    <row r="5" ht="21.75" customHeight="1">
      <c r="A5" s="36"/>
      <c r="B5" s="37" t="s">
        <v>22</v>
      </c>
      <c r="C5" s="38"/>
      <c r="D5" s="39">
        <v>38.0</v>
      </c>
      <c r="E5" s="40"/>
      <c r="F5" s="41"/>
      <c r="G5" s="42">
        <v>40.0</v>
      </c>
      <c r="H5" s="43">
        <v>35.0</v>
      </c>
      <c r="I5" s="34"/>
      <c r="K5" s="35"/>
      <c r="L5" s="34"/>
      <c r="N5" s="35"/>
      <c r="O5" s="44"/>
      <c r="P5" s="31">
        <v>42.0</v>
      </c>
      <c r="Q5" s="45">
        <v>18.0</v>
      </c>
      <c r="R5" s="46"/>
      <c r="S5" s="46">
        <f>(1500*Q5)+(300*10)</f>
        <v>30000</v>
      </c>
      <c r="T5" s="36"/>
      <c r="U5" s="36"/>
      <c r="V5" s="36"/>
      <c r="W5" s="36"/>
      <c r="X5" s="36"/>
      <c r="Y5" s="36"/>
      <c r="Z5" s="36"/>
    </row>
    <row r="6" ht="21.75" customHeight="1">
      <c r="A6" s="36"/>
      <c r="B6" s="37" t="s">
        <v>23</v>
      </c>
      <c r="C6" s="38"/>
      <c r="D6" s="39">
        <v>2.0</v>
      </c>
      <c r="E6" s="40"/>
      <c r="F6" s="41"/>
      <c r="G6" s="42">
        <v>3.0</v>
      </c>
      <c r="H6" s="43">
        <v>2.0</v>
      </c>
      <c r="I6" s="34"/>
      <c r="K6" s="35"/>
      <c r="L6" s="34"/>
      <c r="N6" s="35"/>
      <c r="O6" s="44"/>
      <c r="P6" s="31">
        <v>5.0</v>
      </c>
      <c r="Q6" s="45">
        <v>2.0</v>
      </c>
      <c r="R6" s="46">
        <v>1500.0</v>
      </c>
      <c r="S6" s="33">
        <f t="shared" ref="S6:S19" si="1">R6*Q6</f>
        <v>3000</v>
      </c>
      <c r="T6" s="36"/>
      <c r="U6" s="36"/>
      <c r="V6" s="36"/>
      <c r="W6" s="36"/>
      <c r="X6" s="36"/>
      <c r="Y6" s="36"/>
      <c r="Z6" s="36"/>
    </row>
    <row r="7" ht="21.75" customHeight="1">
      <c r="A7" s="36"/>
      <c r="B7" s="37" t="s">
        <v>24</v>
      </c>
      <c r="C7" s="38"/>
      <c r="D7" s="39">
        <v>3.0</v>
      </c>
      <c r="E7" s="40"/>
      <c r="F7" s="41"/>
      <c r="G7" s="42">
        <v>5.0</v>
      </c>
      <c r="H7" s="43">
        <v>2.0</v>
      </c>
      <c r="I7" s="34"/>
      <c r="K7" s="35"/>
      <c r="L7" s="34"/>
      <c r="N7" s="35"/>
      <c r="O7" s="44"/>
      <c r="P7" s="31">
        <v>6.0</v>
      </c>
      <c r="Q7" s="45">
        <v>2.0</v>
      </c>
      <c r="R7" s="46">
        <v>1500.0</v>
      </c>
      <c r="S7" s="33">
        <f t="shared" si="1"/>
        <v>3000</v>
      </c>
      <c r="T7" s="36"/>
      <c r="U7" s="36"/>
      <c r="V7" s="36"/>
      <c r="W7" s="36"/>
      <c r="X7" s="36"/>
      <c r="Y7" s="36"/>
      <c r="Z7" s="36"/>
    </row>
    <row r="8" ht="21.75" customHeight="1">
      <c r="A8" s="36"/>
      <c r="B8" s="37" t="s">
        <v>25</v>
      </c>
      <c r="C8" s="38"/>
      <c r="D8" s="39">
        <v>2.0</v>
      </c>
      <c r="E8" s="40"/>
      <c r="F8" s="41"/>
      <c r="G8" s="42">
        <v>3.0</v>
      </c>
      <c r="H8" s="43">
        <v>2.0</v>
      </c>
      <c r="I8" s="34"/>
      <c r="K8" s="35"/>
      <c r="L8" s="34"/>
      <c r="N8" s="35"/>
      <c r="O8" s="44"/>
      <c r="P8" s="31">
        <v>3.0</v>
      </c>
      <c r="Q8" s="45">
        <v>2.0</v>
      </c>
      <c r="R8" s="46">
        <v>1500.0</v>
      </c>
      <c r="S8" s="33">
        <f t="shared" si="1"/>
        <v>3000</v>
      </c>
      <c r="T8" s="36"/>
      <c r="U8" s="36"/>
      <c r="V8" s="36"/>
      <c r="W8" s="36"/>
      <c r="X8" s="36"/>
      <c r="Y8" s="36"/>
      <c r="Z8" s="36"/>
    </row>
    <row r="9" ht="21.75" customHeight="1">
      <c r="A9" s="36"/>
      <c r="B9" s="37" t="s">
        <v>26</v>
      </c>
      <c r="C9" s="38"/>
      <c r="D9" s="39">
        <v>3.0</v>
      </c>
      <c r="E9" s="40"/>
      <c r="F9" s="41"/>
      <c r="G9" s="42">
        <v>4.0</v>
      </c>
      <c r="H9" s="43">
        <v>3.0</v>
      </c>
      <c r="I9" s="34"/>
      <c r="K9" s="35"/>
      <c r="L9" s="34"/>
      <c r="N9" s="35"/>
      <c r="O9" s="44"/>
      <c r="P9" s="31">
        <v>5.0</v>
      </c>
      <c r="Q9" s="45">
        <v>2.0</v>
      </c>
      <c r="R9" s="46">
        <v>1500.0</v>
      </c>
      <c r="S9" s="33">
        <f t="shared" si="1"/>
        <v>3000</v>
      </c>
      <c r="T9" s="36"/>
      <c r="U9" s="36"/>
      <c r="V9" s="36"/>
      <c r="W9" s="36"/>
      <c r="X9" s="36"/>
      <c r="Y9" s="36"/>
      <c r="Z9" s="36"/>
    </row>
    <row r="10" ht="21.75" customHeight="1">
      <c r="A10" s="36"/>
      <c r="B10" s="37" t="s">
        <v>27</v>
      </c>
      <c r="C10" s="38"/>
      <c r="D10" s="39">
        <v>3.0</v>
      </c>
      <c r="E10" s="40"/>
      <c r="F10" s="41"/>
      <c r="G10" s="42">
        <v>4.0</v>
      </c>
      <c r="H10" s="43">
        <v>4.0</v>
      </c>
      <c r="I10" s="34"/>
      <c r="K10" s="35"/>
      <c r="L10" s="34"/>
      <c r="N10" s="35"/>
      <c r="O10" s="44"/>
      <c r="P10" s="31">
        <v>4.0</v>
      </c>
      <c r="Q10" s="45">
        <v>1.0</v>
      </c>
      <c r="R10" s="46">
        <v>1500.0</v>
      </c>
      <c r="S10" s="33">
        <f t="shared" si="1"/>
        <v>1500</v>
      </c>
      <c r="T10" s="36"/>
      <c r="U10" s="36"/>
      <c r="V10" s="36"/>
      <c r="W10" s="36"/>
      <c r="X10" s="36"/>
      <c r="Y10" s="36"/>
      <c r="Z10" s="36"/>
    </row>
    <row r="11" ht="21.75" customHeight="1">
      <c r="A11" s="36"/>
      <c r="B11" s="37" t="s">
        <v>28</v>
      </c>
      <c r="C11" s="38"/>
      <c r="D11" s="39">
        <v>8.0</v>
      </c>
      <c r="E11" s="40"/>
      <c r="F11" s="41"/>
      <c r="G11" s="42">
        <v>9.0</v>
      </c>
      <c r="H11" s="43">
        <v>10.0</v>
      </c>
      <c r="I11" s="34"/>
      <c r="K11" s="35"/>
      <c r="L11" s="34"/>
      <c r="N11" s="35"/>
      <c r="O11" s="44"/>
      <c r="P11" s="31">
        <v>10.0</v>
      </c>
      <c r="Q11" s="45">
        <v>9.0</v>
      </c>
      <c r="R11" s="46">
        <v>2000.0</v>
      </c>
      <c r="S11" s="33">
        <f t="shared" si="1"/>
        <v>18000</v>
      </c>
      <c r="T11" s="36"/>
      <c r="U11" s="36"/>
      <c r="V11" s="36"/>
      <c r="W11" s="36"/>
      <c r="X11" s="36"/>
      <c r="Y11" s="36"/>
      <c r="Z11" s="36"/>
    </row>
    <row r="12" ht="21.75" customHeight="1">
      <c r="A12" s="36"/>
      <c r="B12" s="37" t="s">
        <v>29</v>
      </c>
      <c r="C12" s="38"/>
      <c r="D12" s="39">
        <v>28.0</v>
      </c>
      <c r="E12" s="40"/>
      <c r="F12" s="41"/>
      <c r="G12" s="42">
        <v>28.0</v>
      </c>
      <c r="H12" s="43">
        <v>24.0</v>
      </c>
      <c r="I12" s="34"/>
      <c r="K12" s="35"/>
      <c r="L12" s="34"/>
      <c r="N12" s="35"/>
      <c r="O12" s="44"/>
      <c r="P12" s="31">
        <v>30.0</v>
      </c>
      <c r="Q12" s="45">
        <v>18.0</v>
      </c>
      <c r="R12" s="46">
        <v>2000.0</v>
      </c>
      <c r="S12" s="33">
        <f t="shared" si="1"/>
        <v>36000</v>
      </c>
      <c r="T12" s="36"/>
      <c r="U12" s="36"/>
      <c r="V12" s="36"/>
      <c r="W12" s="36"/>
      <c r="X12" s="36"/>
      <c r="Y12" s="36"/>
      <c r="Z12" s="36"/>
    </row>
    <row r="13" ht="21.75" customHeight="1">
      <c r="A13" s="36"/>
      <c r="B13" s="37" t="s">
        <v>30</v>
      </c>
      <c r="C13" s="38"/>
      <c r="D13" s="39">
        <v>40.0</v>
      </c>
      <c r="E13" s="40"/>
      <c r="F13" s="41"/>
      <c r="G13" s="42">
        <v>50.0</v>
      </c>
      <c r="H13" s="43">
        <v>24.0</v>
      </c>
      <c r="I13" s="34"/>
      <c r="K13" s="35"/>
      <c r="L13" s="34"/>
      <c r="N13" s="35"/>
      <c r="O13" s="44"/>
      <c r="P13" s="31">
        <v>50.0</v>
      </c>
      <c r="Q13" s="45">
        <v>8.0</v>
      </c>
      <c r="R13" s="46">
        <v>800.0</v>
      </c>
      <c r="S13" s="33">
        <f t="shared" si="1"/>
        <v>6400</v>
      </c>
      <c r="T13" s="36"/>
      <c r="U13" s="36"/>
      <c r="V13" s="36"/>
      <c r="W13" s="36"/>
      <c r="X13" s="36"/>
      <c r="Y13" s="36"/>
      <c r="Z13" s="36"/>
    </row>
    <row r="14" ht="21.75" customHeight="1">
      <c r="A14" s="36"/>
      <c r="B14" s="37" t="s">
        <v>31</v>
      </c>
      <c r="C14" s="38"/>
      <c r="D14" s="39">
        <v>20.0</v>
      </c>
      <c r="E14" s="40"/>
      <c r="F14" s="41"/>
      <c r="G14" s="42">
        <v>20.0</v>
      </c>
      <c r="H14" s="43">
        <v>11.0</v>
      </c>
      <c r="I14" s="34"/>
      <c r="K14" s="35"/>
      <c r="L14" s="34"/>
      <c r="N14" s="35"/>
      <c r="O14" s="44"/>
      <c r="P14" s="31">
        <v>20.0</v>
      </c>
      <c r="Q14" s="45">
        <v>6.0</v>
      </c>
      <c r="R14" s="46">
        <v>800.0</v>
      </c>
      <c r="S14" s="33">
        <f t="shared" si="1"/>
        <v>4800</v>
      </c>
      <c r="T14" s="36"/>
      <c r="U14" s="36"/>
      <c r="V14" s="36"/>
      <c r="W14" s="36"/>
      <c r="X14" s="36"/>
      <c r="Y14" s="36"/>
      <c r="Z14" s="36"/>
    </row>
    <row r="15" ht="21.75" customHeight="1">
      <c r="A15" s="36"/>
      <c r="B15" s="37" t="s">
        <v>32</v>
      </c>
      <c r="C15" s="38"/>
      <c r="D15" s="39">
        <v>52.0</v>
      </c>
      <c r="E15" s="40"/>
      <c r="F15" s="41"/>
      <c r="G15" s="42">
        <v>55.0</v>
      </c>
      <c r="H15" s="43">
        <v>31.0</v>
      </c>
      <c r="I15" s="34"/>
      <c r="K15" s="35"/>
      <c r="L15" s="34"/>
      <c r="N15" s="35"/>
      <c r="O15" s="44"/>
      <c r="P15" s="31">
        <v>55.0</v>
      </c>
      <c r="Q15" s="45">
        <v>27.0</v>
      </c>
      <c r="R15" s="46">
        <v>1000.0</v>
      </c>
      <c r="S15" s="33">
        <f t="shared" si="1"/>
        <v>27000</v>
      </c>
      <c r="T15" s="36"/>
      <c r="U15" s="36"/>
      <c r="V15" s="36"/>
      <c r="W15" s="36"/>
      <c r="X15" s="36"/>
      <c r="Y15" s="36"/>
      <c r="Z15" s="36"/>
    </row>
    <row r="16" ht="21.75" customHeight="1">
      <c r="A16" s="36"/>
      <c r="B16" s="47" t="s">
        <v>33</v>
      </c>
      <c r="C16" s="48"/>
      <c r="D16" s="49">
        <v>2.0</v>
      </c>
      <c r="E16" s="50"/>
      <c r="F16" s="51"/>
      <c r="G16" s="52">
        <v>3.0</v>
      </c>
      <c r="H16" s="53">
        <v>2.0</v>
      </c>
      <c r="I16" s="34"/>
      <c r="K16" s="35"/>
      <c r="L16" s="34"/>
      <c r="N16" s="35"/>
      <c r="O16" s="54"/>
      <c r="P16" s="55">
        <v>4.0</v>
      </c>
      <c r="Q16" s="56"/>
      <c r="R16" s="57">
        <v>2000.0</v>
      </c>
      <c r="S16" s="33">
        <f t="shared" si="1"/>
        <v>0</v>
      </c>
      <c r="T16" s="36"/>
      <c r="U16" s="36"/>
      <c r="V16" s="36"/>
      <c r="W16" s="36"/>
      <c r="X16" s="36"/>
      <c r="Y16" s="36"/>
      <c r="Z16" s="36"/>
    </row>
    <row r="17" ht="21.75" customHeight="1">
      <c r="A17" s="36"/>
      <c r="B17" s="47" t="s">
        <v>34</v>
      </c>
      <c r="C17" s="48"/>
      <c r="D17" s="49"/>
      <c r="E17" s="50"/>
      <c r="F17" s="51"/>
      <c r="G17" s="52"/>
      <c r="H17" s="53"/>
      <c r="I17" s="34"/>
      <c r="K17" s="35"/>
      <c r="L17" s="34"/>
      <c r="N17" s="35"/>
      <c r="O17" s="54"/>
      <c r="P17" s="31">
        <v>0.0</v>
      </c>
      <c r="Q17" s="56">
        <v>0.0</v>
      </c>
      <c r="R17" s="57"/>
      <c r="S17" s="33">
        <f t="shared" si="1"/>
        <v>0</v>
      </c>
      <c r="T17" s="36"/>
      <c r="U17" s="36"/>
      <c r="V17" s="36"/>
      <c r="W17" s="36"/>
      <c r="X17" s="36"/>
      <c r="Y17" s="36"/>
      <c r="Z17" s="36"/>
    </row>
    <row r="18" ht="21.75" customHeight="1">
      <c r="A18" s="36"/>
      <c r="B18" s="58" t="s">
        <v>35</v>
      </c>
      <c r="C18" s="59"/>
      <c r="D18" s="39"/>
      <c r="E18" s="40"/>
      <c r="F18" s="60"/>
      <c r="G18" s="42"/>
      <c r="H18" s="43"/>
      <c r="I18" s="34"/>
      <c r="K18" s="35"/>
      <c r="L18" s="34"/>
      <c r="N18" s="35"/>
      <c r="O18" s="44"/>
      <c r="P18" s="31">
        <v>1.0</v>
      </c>
      <c r="Q18" s="45">
        <v>1.0</v>
      </c>
      <c r="R18" s="46">
        <v>14000.0</v>
      </c>
      <c r="S18" s="33">
        <f t="shared" si="1"/>
        <v>14000</v>
      </c>
      <c r="T18" s="36"/>
      <c r="U18" s="36"/>
      <c r="V18" s="36"/>
      <c r="W18" s="36"/>
      <c r="X18" s="36"/>
      <c r="Y18" s="36"/>
      <c r="Z18" s="36"/>
    </row>
    <row r="19" ht="21.75" customHeight="1">
      <c r="A19" s="36"/>
      <c r="B19" s="37" t="s">
        <v>36</v>
      </c>
      <c r="C19" s="38"/>
      <c r="D19" s="39"/>
      <c r="E19" s="40"/>
      <c r="F19" s="41"/>
      <c r="G19" s="42"/>
      <c r="H19" s="43"/>
      <c r="I19" s="34"/>
      <c r="K19" s="35"/>
      <c r="L19" s="34"/>
      <c r="N19" s="35"/>
      <c r="O19" s="44"/>
      <c r="P19" s="31">
        <v>2.0</v>
      </c>
      <c r="Q19" s="45">
        <v>2.0</v>
      </c>
      <c r="R19" s="46">
        <v>12000.0</v>
      </c>
      <c r="S19" s="33">
        <f t="shared" si="1"/>
        <v>24000</v>
      </c>
      <c r="T19" s="36"/>
      <c r="U19" s="36"/>
      <c r="V19" s="36"/>
      <c r="W19" s="36"/>
      <c r="X19" s="36"/>
      <c r="Y19" s="36"/>
      <c r="Z19" s="36"/>
    </row>
    <row r="20" ht="21.75" customHeight="1">
      <c r="A20" s="36"/>
      <c r="B20" s="37" t="s">
        <v>37</v>
      </c>
      <c r="C20" s="38"/>
      <c r="D20" s="39"/>
      <c r="E20" s="40"/>
      <c r="F20" s="41"/>
      <c r="G20" s="42"/>
      <c r="H20" s="43"/>
      <c r="I20" s="34"/>
      <c r="K20" s="35"/>
      <c r="L20" s="34"/>
      <c r="N20" s="35"/>
      <c r="O20" s="44"/>
      <c r="P20" s="31">
        <v>25.0</v>
      </c>
      <c r="Q20" s="45"/>
      <c r="R20" s="46">
        <v>30000.0</v>
      </c>
      <c r="S20" s="46">
        <v>30000.0</v>
      </c>
      <c r="T20" s="36"/>
      <c r="U20" s="36"/>
      <c r="V20" s="36"/>
      <c r="W20" s="36"/>
      <c r="X20" s="36"/>
      <c r="Y20" s="36"/>
      <c r="Z20" s="36"/>
    </row>
    <row r="21" ht="22.5" customHeight="1">
      <c r="A21" s="36"/>
      <c r="B21" s="61" t="s">
        <v>38</v>
      </c>
      <c r="C21" s="62"/>
      <c r="D21" s="63"/>
      <c r="E21" s="64"/>
      <c r="F21" s="65"/>
      <c r="G21" s="66"/>
      <c r="H21" s="67"/>
      <c r="I21" s="68"/>
      <c r="J21" s="69"/>
      <c r="K21" s="70"/>
      <c r="L21" s="68"/>
      <c r="M21" s="69"/>
      <c r="N21" s="70"/>
      <c r="O21" s="71"/>
      <c r="P21" s="72">
        <v>5.0</v>
      </c>
      <c r="Q21" s="73">
        <v>0.0</v>
      </c>
      <c r="R21" s="74">
        <v>38200.0</v>
      </c>
      <c r="S21" s="74">
        <v>38200.0</v>
      </c>
      <c r="T21" s="36"/>
      <c r="U21" s="36"/>
      <c r="V21" s="36"/>
      <c r="W21" s="36"/>
      <c r="X21" s="36"/>
      <c r="Y21" s="36"/>
      <c r="Z21" s="36"/>
    </row>
    <row r="22" ht="15.75" customHeight="1">
      <c r="A22" s="36"/>
      <c r="B22" s="36"/>
      <c r="C22" s="36"/>
      <c r="D22" s="75"/>
      <c r="E22" s="75"/>
      <c r="F22" s="36"/>
      <c r="G22" s="75"/>
      <c r="H22" s="75"/>
      <c r="I22" s="36"/>
      <c r="J22" s="75"/>
      <c r="K22" s="75"/>
      <c r="L22" s="36"/>
      <c r="M22" s="75"/>
      <c r="N22" s="75"/>
      <c r="O22" s="75"/>
      <c r="P22" s="75"/>
      <c r="Q22" s="75"/>
      <c r="R22" s="76"/>
      <c r="T22" s="36"/>
      <c r="U22" s="36"/>
      <c r="V22" s="36"/>
      <c r="W22" s="36"/>
      <c r="X22" s="36"/>
      <c r="Y22" s="36"/>
      <c r="Z22" s="36"/>
    </row>
    <row r="23" ht="15.75" customHeight="1">
      <c r="A23" s="36"/>
      <c r="B23" s="36"/>
      <c r="C23" s="36"/>
      <c r="D23" s="75"/>
      <c r="E23" s="75"/>
      <c r="F23" s="36"/>
      <c r="G23" s="75"/>
      <c r="H23" s="75"/>
      <c r="I23" s="36"/>
      <c r="J23" s="75"/>
      <c r="K23" s="75"/>
      <c r="L23" s="36"/>
      <c r="M23" s="75"/>
      <c r="N23" s="75"/>
      <c r="O23" s="75"/>
      <c r="P23" s="75"/>
      <c r="Q23" s="75"/>
      <c r="R23" s="76"/>
      <c r="T23" s="36"/>
      <c r="U23" s="36"/>
      <c r="V23" s="36"/>
      <c r="W23" s="36"/>
      <c r="X23" s="36"/>
      <c r="Y23" s="36"/>
      <c r="Z23" s="36"/>
    </row>
    <row r="24" ht="15.75" customHeight="1">
      <c r="A24" s="36"/>
      <c r="B24" s="36"/>
      <c r="C24" s="36"/>
      <c r="D24" s="75"/>
      <c r="E24" s="75"/>
      <c r="F24" s="36"/>
      <c r="G24" s="75"/>
      <c r="H24" s="75"/>
      <c r="I24" s="36"/>
      <c r="J24" s="75"/>
      <c r="K24" s="75"/>
      <c r="L24" s="36"/>
      <c r="M24" s="75"/>
      <c r="N24" s="75"/>
      <c r="O24" s="75"/>
      <c r="P24" s="75"/>
      <c r="Q24" s="75"/>
      <c r="R24" s="76"/>
      <c r="T24" s="36"/>
      <c r="U24" s="36"/>
      <c r="V24" s="36"/>
      <c r="W24" s="36"/>
      <c r="X24" s="36"/>
      <c r="Y24" s="36"/>
      <c r="Z24" s="36"/>
    </row>
    <row r="25" ht="15.75" customHeight="1">
      <c r="A25" s="36"/>
      <c r="B25" s="36"/>
      <c r="C25" s="36"/>
      <c r="D25" s="75"/>
      <c r="E25" s="75"/>
      <c r="F25" s="36"/>
      <c r="G25" s="75"/>
      <c r="H25" s="75"/>
      <c r="I25" s="36"/>
      <c r="J25" s="75"/>
      <c r="K25" s="75"/>
      <c r="L25" s="36"/>
      <c r="M25" s="75"/>
      <c r="N25" s="75"/>
      <c r="O25" s="75"/>
      <c r="P25" s="75"/>
      <c r="Q25" s="75"/>
      <c r="R25" s="76"/>
      <c r="T25" s="36"/>
      <c r="U25" s="36"/>
      <c r="V25" s="36"/>
      <c r="W25" s="36"/>
      <c r="X25" s="36"/>
      <c r="Y25" s="36"/>
      <c r="Z25" s="36"/>
    </row>
    <row r="26" ht="15.75" customHeight="1">
      <c r="A26" s="36"/>
      <c r="B26" s="36"/>
      <c r="C26" s="36"/>
      <c r="D26" s="75"/>
      <c r="E26" s="75"/>
      <c r="F26" s="36"/>
      <c r="G26" s="75"/>
      <c r="H26" s="75"/>
      <c r="I26" s="36"/>
      <c r="J26" s="75"/>
      <c r="K26" s="75"/>
      <c r="L26" s="36"/>
      <c r="M26" s="75"/>
      <c r="N26" s="75"/>
      <c r="O26" s="75"/>
      <c r="P26" s="75"/>
      <c r="Q26" s="75"/>
      <c r="R26" s="7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75"/>
      <c r="E27" s="75"/>
      <c r="F27" s="36"/>
      <c r="G27" s="75"/>
      <c r="H27" s="75"/>
      <c r="I27" s="36"/>
      <c r="J27" s="75"/>
      <c r="K27" s="75"/>
      <c r="L27" s="36"/>
      <c r="M27" s="75"/>
      <c r="N27" s="75"/>
      <c r="O27" s="75"/>
      <c r="P27" s="75"/>
      <c r="Q27" s="75"/>
      <c r="R27" s="7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36"/>
      <c r="D28" s="75"/>
      <c r="E28" s="75"/>
      <c r="F28" s="36"/>
      <c r="G28" s="75"/>
      <c r="H28" s="75"/>
      <c r="I28" s="36"/>
      <c r="J28" s="75"/>
      <c r="K28" s="75"/>
      <c r="L28" s="36"/>
      <c r="M28" s="75"/>
      <c r="N28" s="75"/>
      <c r="O28" s="75"/>
      <c r="P28" s="75"/>
      <c r="Q28" s="75"/>
      <c r="R28" s="7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75"/>
      <c r="E29" s="75"/>
      <c r="F29" s="36"/>
      <c r="G29" s="75"/>
      <c r="H29" s="75"/>
      <c r="I29" s="36"/>
      <c r="J29" s="75"/>
      <c r="K29" s="75"/>
      <c r="L29" s="36"/>
      <c r="M29" s="75"/>
      <c r="N29" s="75"/>
      <c r="O29" s="75"/>
      <c r="P29" s="75"/>
      <c r="Q29" s="75"/>
      <c r="R29" s="7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75"/>
      <c r="E30" s="75"/>
      <c r="F30" s="36"/>
      <c r="G30" s="75"/>
      <c r="H30" s="75"/>
      <c r="I30" s="36"/>
      <c r="J30" s="75"/>
      <c r="K30" s="75"/>
      <c r="L30" s="36"/>
      <c r="M30" s="75"/>
      <c r="N30" s="75"/>
      <c r="O30" s="75"/>
      <c r="P30" s="75"/>
      <c r="Q30" s="75"/>
      <c r="R30" s="7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75"/>
      <c r="E31" s="75"/>
      <c r="F31" s="36"/>
      <c r="G31" s="75"/>
      <c r="H31" s="75"/>
      <c r="I31" s="36"/>
      <c r="J31" s="75"/>
      <c r="K31" s="75"/>
      <c r="L31" s="36"/>
      <c r="M31" s="75"/>
      <c r="N31" s="75"/>
      <c r="O31" s="75"/>
      <c r="P31" s="75"/>
      <c r="Q31" s="75"/>
      <c r="R31" s="7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75"/>
      <c r="E32" s="75"/>
      <c r="F32" s="36"/>
      <c r="G32" s="75"/>
      <c r="H32" s="75"/>
      <c r="I32" s="36"/>
      <c r="J32" s="75"/>
      <c r="K32" s="75"/>
      <c r="L32" s="36"/>
      <c r="M32" s="75"/>
      <c r="N32" s="75"/>
      <c r="O32" s="75"/>
      <c r="P32" s="75"/>
      <c r="Q32" s="75"/>
      <c r="R32" s="7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75"/>
      <c r="E33" s="75"/>
      <c r="F33" s="36"/>
      <c r="G33" s="75"/>
      <c r="H33" s="75"/>
      <c r="I33" s="36"/>
      <c r="J33" s="75"/>
      <c r="K33" s="75"/>
      <c r="L33" s="36"/>
      <c r="M33" s="75"/>
      <c r="N33" s="75"/>
      <c r="O33" s="75"/>
      <c r="P33" s="75"/>
      <c r="Q33" s="75"/>
      <c r="R33" s="7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75"/>
      <c r="E34" s="75"/>
      <c r="F34" s="36"/>
      <c r="G34" s="75"/>
      <c r="H34" s="75"/>
      <c r="I34" s="36"/>
      <c r="J34" s="75"/>
      <c r="K34" s="75"/>
      <c r="L34" s="36"/>
      <c r="M34" s="75"/>
      <c r="N34" s="75"/>
      <c r="O34" s="75"/>
      <c r="P34" s="75"/>
      <c r="Q34" s="75"/>
      <c r="R34" s="7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75"/>
      <c r="E35" s="75"/>
      <c r="F35" s="36"/>
      <c r="G35" s="75"/>
      <c r="H35" s="75"/>
      <c r="I35" s="36"/>
      <c r="J35" s="75"/>
      <c r="K35" s="75"/>
      <c r="L35" s="36"/>
      <c r="M35" s="75"/>
      <c r="N35" s="75"/>
      <c r="O35" s="75"/>
      <c r="P35" s="75"/>
      <c r="Q35" s="75"/>
      <c r="R35" s="7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75"/>
      <c r="E36" s="75"/>
      <c r="F36" s="36"/>
      <c r="G36" s="75"/>
      <c r="H36" s="75"/>
      <c r="I36" s="36"/>
      <c r="J36" s="75"/>
      <c r="K36" s="75"/>
      <c r="L36" s="36"/>
      <c r="M36" s="75"/>
      <c r="N36" s="75"/>
      <c r="O36" s="75"/>
      <c r="P36" s="75"/>
      <c r="Q36" s="75"/>
      <c r="R36" s="7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75"/>
      <c r="E37" s="75"/>
      <c r="F37" s="36"/>
      <c r="G37" s="75"/>
      <c r="H37" s="75"/>
      <c r="I37" s="36"/>
      <c r="J37" s="75"/>
      <c r="K37" s="75"/>
      <c r="L37" s="36"/>
      <c r="M37" s="75"/>
      <c r="N37" s="75"/>
      <c r="O37" s="75"/>
      <c r="P37" s="75"/>
      <c r="Q37" s="75"/>
      <c r="R37" s="7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75"/>
      <c r="E38" s="75"/>
      <c r="F38" s="36"/>
      <c r="G38" s="75"/>
      <c r="H38" s="75"/>
      <c r="I38" s="36"/>
      <c r="J38" s="75"/>
      <c r="K38" s="75"/>
      <c r="L38" s="36"/>
      <c r="M38" s="75"/>
      <c r="N38" s="75"/>
      <c r="O38" s="75"/>
      <c r="P38" s="75"/>
      <c r="Q38" s="75"/>
      <c r="R38" s="7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75"/>
      <c r="E39" s="75"/>
      <c r="F39" s="36"/>
      <c r="G39" s="75"/>
      <c r="H39" s="75"/>
      <c r="I39" s="36"/>
      <c r="J39" s="75"/>
      <c r="K39" s="75"/>
      <c r="L39" s="36"/>
      <c r="M39" s="75"/>
      <c r="N39" s="75"/>
      <c r="O39" s="75"/>
      <c r="P39" s="75"/>
      <c r="Q39" s="75"/>
      <c r="R39" s="7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75"/>
      <c r="E40" s="75"/>
      <c r="F40" s="36"/>
      <c r="G40" s="75"/>
      <c r="H40" s="75"/>
      <c r="I40" s="36"/>
      <c r="J40" s="75"/>
      <c r="K40" s="75"/>
      <c r="L40" s="36"/>
      <c r="M40" s="75"/>
      <c r="N40" s="75"/>
      <c r="O40" s="75"/>
      <c r="P40" s="75"/>
      <c r="Q40" s="75"/>
      <c r="R40" s="7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75"/>
      <c r="E41" s="75"/>
      <c r="F41" s="36"/>
      <c r="G41" s="75"/>
      <c r="H41" s="75"/>
      <c r="I41" s="36"/>
      <c r="J41" s="75"/>
      <c r="K41" s="75"/>
      <c r="L41" s="36"/>
      <c r="M41" s="75"/>
      <c r="N41" s="75"/>
      <c r="O41" s="75"/>
      <c r="P41" s="75"/>
      <c r="Q41" s="75"/>
      <c r="R41" s="7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75"/>
      <c r="E42" s="75"/>
      <c r="F42" s="36"/>
      <c r="G42" s="75"/>
      <c r="H42" s="75"/>
      <c r="I42" s="36"/>
      <c r="J42" s="75"/>
      <c r="K42" s="75"/>
      <c r="L42" s="36"/>
      <c r="M42" s="75"/>
      <c r="N42" s="75"/>
      <c r="O42" s="75"/>
      <c r="P42" s="75"/>
      <c r="Q42" s="75"/>
      <c r="R42" s="7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75"/>
      <c r="E43" s="75"/>
      <c r="F43" s="36"/>
      <c r="G43" s="75"/>
      <c r="H43" s="75"/>
      <c r="I43" s="36"/>
      <c r="J43" s="75"/>
      <c r="K43" s="75"/>
      <c r="L43" s="36"/>
      <c r="M43" s="75"/>
      <c r="N43" s="75"/>
      <c r="O43" s="75"/>
      <c r="P43" s="75"/>
      <c r="Q43" s="75"/>
      <c r="R43" s="7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75"/>
      <c r="E44" s="75"/>
      <c r="F44" s="36"/>
      <c r="G44" s="75"/>
      <c r="H44" s="75"/>
      <c r="I44" s="36"/>
      <c r="J44" s="75"/>
      <c r="K44" s="75"/>
      <c r="L44" s="36"/>
      <c r="M44" s="75"/>
      <c r="N44" s="75"/>
      <c r="O44" s="75"/>
      <c r="P44" s="75"/>
      <c r="Q44" s="75"/>
      <c r="R44" s="7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75"/>
      <c r="E45" s="75"/>
      <c r="F45" s="36"/>
      <c r="G45" s="75"/>
      <c r="H45" s="75"/>
      <c r="I45" s="36"/>
      <c r="J45" s="75"/>
      <c r="K45" s="75"/>
      <c r="L45" s="36"/>
      <c r="M45" s="75"/>
      <c r="N45" s="75"/>
      <c r="O45" s="75"/>
      <c r="P45" s="75"/>
      <c r="Q45" s="75"/>
      <c r="R45" s="7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75"/>
      <c r="E46" s="75"/>
      <c r="F46" s="36"/>
      <c r="G46" s="75"/>
      <c r="H46" s="75"/>
      <c r="I46" s="36"/>
      <c r="J46" s="75"/>
      <c r="K46" s="75"/>
      <c r="L46" s="36"/>
      <c r="M46" s="75"/>
      <c r="N46" s="75"/>
      <c r="O46" s="75"/>
      <c r="P46" s="75"/>
      <c r="Q46" s="75"/>
      <c r="R46" s="7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75"/>
      <c r="E47" s="75"/>
      <c r="F47" s="36"/>
      <c r="G47" s="75"/>
      <c r="H47" s="75"/>
      <c r="I47" s="36"/>
      <c r="J47" s="75"/>
      <c r="K47" s="75"/>
      <c r="L47" s="36"/>
      <c r="M47" s="75"/>
      <c r="N47" s="75"/>
      <c r="O47" s="75"/>
      <c r="P47" s="75"/>
      <c r="Q47" s="75"/>
      <c r="R47" s="7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75"/>
      <c r="E48" s="75"/>
      <c r="F48" s="36"/>
      <c r="G48" s="75"/>
      <c r="H48" s="75"/>
      <c r="I48" s="36"/>
      <c r="J48" s="75"/>
      <c r="K48" s="75"/>
      <c r="L48" s="36"/>
      <c r="M48" s="75"/>
      <c r="N48" s="75"/>
      <c r="O48" s="75"/>
      <c r="P48" s="75"/>
      <c r="Q48" s="75"/>
      <c r="R48" s="7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75"/>
      <c r="E49" s="75"/>
      <c r="F49" s="36"/>
      <c r="G49" s="75"/>
      <c r="H49" s="75"/>
      <c r="I49" s="36"/>
      <c r="J49" s="75"/>
      <c r="K49" s="75"/>
      <c r="L49" s="36"/>
      <c r="M49" s="75"/>
      <c r="N49" s="75"/>
      <c r="O49" s="75"/>
      <c r="P49" s="75"/>
      <c r="Q49" s="75"/>
      <c r="R49" s="7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75"/>
      <c r="E50" s="75"/>
      <c r="F50" s="36"/>
      <c r="G50" s="75"/>
      <c r="H50" s="75"/>
      <c r="I50" s="36"/>
      <c r="J50" s="75"/>
      <c r="K50" s="75"/>
      <c r="L50" s="36"/>
      <c r="M50" s="75"/>
      <c r="N50" s="75"/>
      <c r="O50" s="75"/>
      <c r="P50" s="75"/>
      <c r="Q50" s="75"/>
      <c r="R50" s="7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75"/>
      <c r="E51" s="75"/>
      <c r="F51" s="36"/>
      <c r="G51" s="75"/>
      <c r="H51" s="75"/>
      <c r="I51" s="36"/>
      <c r="J51" s="75"/>
      <c r="K51" s="75"/>
      <c r="L51" s="36"/>
      <c r="M51" s="75"/>
      <c r="N51" s="75"/>
      <c r="O51" s="75"/>
      <c r="P51" s="75"/>
      <c r="Q51" s="75"/>
      <c r="R51" s="7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75"/>
      <c r="E52" s="75"/>
      <c r="F52" s="36"/>
      <c r="G52" s="75"/>
      <c r="H52" s="75"/>
      <c r="I52" s="36"/>
      <c r="J52" s="75"/>
      <c r="K52" s="75"/>
      <c r="L52" s="36"/>
      <c r="M52" s="75"/>
      <c r="N52" s="75"/>
      <c r="O52" s="75"/>
      <c r="P52" s="75"/>
      <c r="Q52" s="75"/>
      <c r="R52" s="7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75"/>
      <c r="E53" s="75"/>
      <c r="F53" s="36"/>
      <c r="G53" s="75"/>
      <c r="H53" s="75"/>
      <c r="I53" s="36"/>
      <c r="J53" s="75"/>
      <c r="K53" s="75"/>
      <c r="L53" s="36"/>
      <c r="M53" s="75"/>
      <c r="N53" s="75"/>
      <c r="O53" s="75"/>
      <c r="P53" s="75"/>
      <c r="Q53" s="75"/>
      <c r="R53" s="7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75"/>
      <c r="E54" s="75"/>
      <c r="F54" s="36"/>
      <c r="G54" s="75"/>
      <c r="H54" s="75"/>
      <c r="I54" s="36"/>
      <c r="J54" s="75"/>
      <c r="K54" s="75"/>
      <c r="L54" s="36"/>
      <c r="M54" s="75"/>
      <c r="N54" s="75"/>
      <c r="O54" s="75"/>
      <c r="P54" s="75"/>
      <c r="Q54" s="75"/>
      <c r="R54" s="7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75"/>
      <c r="E55" s="75"/>
      <c r="F55" s="36"/>
      <c r="G55" s="75"/>
      <c r="H55" s="75"/>
      <c r="I55" s="36"/>
      <c r="J55" s="75"/>
      <c r="K55" s="75"/>
      <c r="L55" s="36"/>
      <c r="M55" s="75"/>
      <c r="N55" s="75"/>
      <c r="O55" s="75"/>
      <c r="P55" s="75"/>
      <c r="Q55" s="75"/>
      <c r="R55" s="7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75"/>
      <c r="E56" s="75"/>
      <c r="F56" s="36"/>
      <c r="G56" s="75"/>
      <c r="H56" s="75"/>
      <c r="I56" s="36"/>
      <c r="J56" s="75"/>
      <c r="K56" s="75"/>
      <c r="L56" s="36"/>
      <c r="M56" s="75"/>
      <c r="N56" s="75"/>
      <c r="O56" s="75"/>
      <c r="P56" s="75"/>
      <c r="Q56" s="75"/>
      <c r="R56" s="7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75"/>
      <c r="E57" s="75"/>
      <c r="F57" s="36"/>
      <c r="G57" s="75"/>
      <c r="H57" s="75"/>
      <c r="I57" s="36"/>
      <c r="J57" s="75"/>
      <c r="K57" s="75"/>
      <c r="L57" s="36"/>
      <c r="M57" s="75"/>
      <c r="N57" s="75"/>
      <c r="O57" s="75"/>
      <c r="P57" s="75"/>
      <c r="Q57" s="75"/>
      <c r="R57" s="7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75"/>
      <c r="E58" s="75"/>
      <c r="F58" s="36"/>
      <c r="G58" s="75"/>
      <c r="H58" s="75"/>
      <c r="I58" s="36"/>
      <c r="J58" s="75"/>
      <c r="K58" s="75"/>
      <c r="L58" s="36"/>
      <c r="M58" s="75"/>
      <c r="N58" s="75"/>
      <c r="O58" s="75"/>
      <c r="P58" s="75"/>
      <c r="Q58" s="75"/>
      <c r="R58" s="7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75"/>
      <c r="E59" s="75"/>
      <c r="F59" s="36"/>
      <c r="G59" s="75"/>
      <c r="H59" s="75"/>
      <c r="I59" s="36"/>
      <c r="J59" s="75"/>
      <c r="K59" s="75"/>
      <c r="L59" s="36"/>
      <c r="M59" s="75"/>
      <c r="N59" s="75"/>
      <c r="O59" s="75"/>
      <c r="P59" s="75"/>
      <c r="Q59" s="75"/>
      <c r="R59" s="7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75"/>
      <c r="E60" s="75"/>
      <c r="F60" s="36"/>
      <c r="G60" s="75"/>
      <c r="H60" s="75"/>
      <c r="I60" s="36"/>
      <c r="J60" s="75"/>
      <c r="K60" s="75"/>
      <c r="L60" s="36"/>
      <c r="M60" s="75"/>
      <c r="N60" s="75"/>
      <c r="O60" s="75"/>
      <c r="P60" s="75"/>
      <c r="Q60" s="75"/>
      <c r="R60" s="7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75"/>
      <c r="E61" s="75"/>
      <c r="F61" s="36"/>
      <c r="G61" s="75"/>
      <c r="H61" s="75"/>
      <c r="I61" s="36"/>
      <c r="J61" s="75"/>
      <c r="K61" s="75"/>
      <c r="L61" s="36"/>
      <c r="M61" s="75"/>
      <c r="N61" s="75"/>
      <c r="O61" s="75"/>
      <c r="P61" s="75"/>
      <c r="Q61" s="75"/>
      <c r="R61" s="7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75"/>
      <c r="E62" s="75"/>
      <c r="F62" s="36"/>
      <c r="G62" s="75"/>
      <c r="H62" s="75"/>
      <c r="I62" s="36"/>
      <c r="J62" s="75"/>
      <c r="K62" s="75"/>
      <c r="L62" s="36"/>
      <c r="M62" s="75"/>
      <c r="N62" s="75"/>
      <c r="O62" s="75"/>
      <c r="P62" s="75"/>
      <c r="Q62" s="75"/>
      <c r="R62" s="7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75"/>
      <c r="E63" s="75"/>
      <c r="F63" s="36"/>
      <c r="G63" s="75"/>
      <c r="H63" s="75"/>
      <c r="I63" s="36"/>
      <c r="J63" s="75"/>
      <c r="K63" s="75"/>
      <c r="L63" s="36"/>
      <c r="M63" s="75"/>
      <c r="N63" s="75"/>
      <c r="O63" s="75"/>
      <c r="P63" s="75"/>
      <c r="Q63" s="75"/>
      <c r="R63" s="7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75"/>
      <c r="E64" s="75"/>
      <c r="F64" s="36"/>
      <c r="G64" s="75"/>
      <c r="H64" s="75"/>
      <c r="I64" s="36"/>
      <c r="J64" s="75"/>
      <c r="K64" s="75"/>
      <c r="L64" s="36"/>
      <c r="M64" s="75"/>
      <c r="N64" s="75"/>
      <c r="O64" s="75"/>
      <c r="P64" s="75"/>
      <c r="Q64" s="75"/>
      <c r="R64" s="7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75"/>
      <c r="E65" s="75"/>
      <c r="F65" s="36"/>
      <c r="G65" s="75"/>
      <c r="H65" s="75"/>
      <c r="I65" s="36"/>
      <c r="J65" s="75"/>
      <c r="K65" s="75"/>
      <c r="L65" s="36"/>
      <c r="M65" s="75"/>
      <c r="N65" s="75"/>
      <c r="O65" s="75"/>
      <c r="P65" s="75"/>
      <c r="Q65" s="75"/>
      <c r="R65" s="7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75"/>
      <c r="E66" s="75"/>
      <c r="F66" s="36"/>
      <c r="G66" s="75"/>
      <c r="H66" s="75"/>
      <c r="I66" s="36"/>
      <c r="J66" s="75"/>
      <c r="K66" s="75"/>
      <c r="L66" s="36"/>
      <c r="M66" s="75"/>
      <c r="N66" s="75"/>
      <c r="O66" s="75"/>
      <c r="P66" s="75"/>
      <c r="Q66" s="75"/>
      <c r="R66" s="7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75"/>
      <c r="E67" s="75"/>
      <c r="F67" s="36"/>
      <c r="G67" s="75"/>
      <c r="H67" s="75"/>
      <c r="I67" s="36"/>
      <c r="J67" s="75"/>
      <c r="K67" s="75"/>
      <c r="L67" s="36"/>
      <c r="M67" s="75"/>
      <c r="N67" s="75"/>
      <c r="O67" s="75"/>
      <c r="P67" s="75"/>
      <c r="Q67" s="75"/>
      <c r="R67" s="7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75"/>
      <c r="E68" s="75"/>
      <c r="F68" s="36"/>
      <c r="G68" s="75"/>
      <c r="H68" s="75"/>
      <c r="I68" s="36"/>
      <c r="J68" s="75"/>
      <c r="K68" s="75"/>
      <c r="L68" s="36"/>
      <c r="M68" s="75"/>
      <c r="N68" s="75"/>
      <c r="O68" s="75"/>
      <c r="P68" s="75"/>
      <c r="Q68" s="75"/>
      <c r="R68" s="7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75"/>
      <c r="E69" s="75"/>
      <c r="F69" s="36"/>
      <c r="G69" s="75"/>
      <c r="H69" s="75"/>
      <c r="I69" s="36"/>
      <c r="J69" s="75"/>
      <c r="K69" s="75"/>
      <c r="L69" s="36"/>
      <c r="M69" s="75"/>
      <c r="N69" s="75"/>
      <c r="O69" s="75"/>
      <c r="P69" s="75"/>
      <c r="Q69" s="75"/>
      <c r="R69" s="7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75"/>
      <c r="E70" s="75"/>
      <c r="F70" s="36"/>
      <c r="G70" s="75"/>
      <c r="H70" s="75"/>
      <c r="I70" s="36"/>
      <c r="J70" s="75"/>
      <c r="K70" s="75"/>
      <c r="L70" s="36"/>
      <c r="M70" s="75"/>
      <c r="N70" s="75"/>
      <c r="O70" s="75"/>
      <c r="P70" s="75"/>
      <c r="Q70" s="75"/>
      <c r="R70" s="7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75"/>
      <c r="E71" s="75"/>
      <c r="F71" s="36"/>
      <c r="G71" s="75"/>
      <c r="H71" s="75"/>
      <c r="I71" s="36"/>
      <c r="J71" s="75"/>
      <c r="K71" s="75"/>
      <c r="L71" s="36"/>
      <c r="M71" s="75"/>
      <c r="N71" s="75"/>
      <c r="O71" s="75"/>
      <c r="P71" s="75"/>
      <c r="Q71" s="75"/>
      <c r="R71" s="7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75"/>
      <c r="E72" s="75"/>
      <c r="F72" s="36"/>
      <c r="G72" s="75"/>
      <c r="H72" s="75"/>
      <c r="I72" s="36"/>
      <c r="J72" s="75"/>
      <c r="K72" s="75"/>
      <c r="L72" s="36"/>
      <c r="M72" s="75"/>
      <c r="N72" s="75"/>
      <c r="O72" s="75"/>
      <c r="P72" s="75"/>
      <c r="Q72" s="75"/>
      <c r="R72" s="7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75"/>
      <c r="E73" s="75"/>
      <c r="F73" s="36"/>
      <c r="G73" s="75"/>
      <c r="H73" s="75"/>
      <c r="I73" s="36"/>
      <c r="J73" s="75"/>
      <c r="K73" s="75"/>
      <c r="L73" s="36"/>
      <c r="M73" s="75"/>
      <c r="N73" s="75"/>
      <c r="O73" s="75"/>
      <c r="P73" s="75"/>
      <c r="Q73" s="75"/>
      <c r="R73" s="7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75"/>
      <c r="E74" s="75"/>
      <c r="F74" s="36"/>
      <c r="G74" s="75"/>
      <c r="H74" s="75"/>
      <c r="I74" s="36"/>
      <c r="J74" s="75"/>
      <c r="K74" s="75"/>
      <c r="L74" s="36"/>
      <c r="M74" s="75"/>
      <c r="N74" s="75"/>
      <c r="O74" s="75"/>
      <c r="P74" s="75"/>
      <c r="Q74" s="75"/>
      <c r="R74" s="7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75"/>
      <c r="E75" s="75"/>
      <c r="F75" s="36"/>
      <c r="G75" s="75"/>
      <c r="H75" s="75"/>
      <c r="I75" s="36"/>
      <c r="J75" s="75"/>
      <c r="K75" s="75"/>
      <c r="L75" s="36"/>
      <c r="M75" s="75"/>
      <c r="N75" s="75"/>
      <c r="O75" s="75"/>
      <c r="P75" s="75"/>
      <c r="Q75" s="75"/>
      <c r="R75" s="7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75"/>
      <c r="E76" s="75"/>
      <c r="F76" s="36"/>
      <c r="G76" s="75"/>
      <c r="H76" s="75"/>
      <c r="I76" s="36"/>
      <c r="J76" s="75"/>
      <c r="K76" s="75"/>
      <c r="L76" s="36"/>
      <c r="M76" s="75"/>
      <c r="N76" s="75"/>
      <c r="O76" s="75"/>
      <c r="P76" s="75"/>
      <c r="Q76" s="75"/>
      <c r="R76" s="7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75"/>
      <c r="E77" s="75"/>
      <c r="F77" s="36"/>
      <c r="G77" s="75"/>
      <c r="H77" s="75"/>
      <c r="I77" s="36"/>
      <c r="J77" s="75"/>
      <c r="K77" s="75"/>
      <c r="L77" s="36"/>
      <c r="M77" s="75"/>
      <c r="N77" s="75"/>
      <c r="O77" s="75"/>
      <c r="P77" s="75"/>
      <c r="Q77" s="75"/>
      <c r="R77" s="7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75"/>
      <c r="E78" s="75"/>
      <c r="F78" s="36"/>
      <c r="G78" s="75"/>
      <c r="H78" s="75"/>
      <c r="I78" s="36"/>
      <c r="J78" s="75"/>
      <c r="K78" s="75"/>
      <c r="L78" s="36"/>
      <c r="M78" s="75"/>
      <c r="N78" s="75"/>
      <c r="O78" s="75"/>
      <c r="P78" s="75"/>
      <c r="Q78" s="75"/>
      <c r="R78" s="7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75"/>
      <c r="E79" s="75"/>
      <c r="F79" s="36"/>
      <c r="G79" s="75"/>
      <c r="H79" s="75"/>
      <c r="I79" s="36"/>
      <c r="J79" s="75"/>
      <c r="K79" s="75"/>
      <c r="L79" s="36"/>
      <c r="M79" s="75"/>
      <c r="N79" s="75"/>
      <c r="O79" s="75"/>
      <c r="P79" s="75"/>
      <c r="Q79" s="75"/>
      <c r="R79" s="7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75"/>
      <c r="E80" s="75"/>
      <c r="F80" s="36"/>
      <c r="G80" s="75"/>
      <c r="H80" s="75"/>
      <c r="I80" s="36"/>
      <c r="J80" s="75"/>
      <c r="K80" s="75"/>
      <c r="L80" s="36"/>
      <c r="M80" s="75"/>
      <c r="N80" s="75"/>
      <c r="O80" s="75"/>
      <c r="P80" s="75"/>
      <c r="Q80" s="75"/>
      <c r="R80" s="7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75"/>
      <c r="E81" s="75"/>
      <c r="F81" s="36"/>
      <c r="G81" s="75"/>
      <c r="H81" s="75"/>
      <c r="I81" s="36"/>
      <c r="J81" s="75"/>
      <c r="K81" s="75"/>
      <c r="L81" s="36"/>
      <c r="M81" s="75"/>
      <c r="N81" s="75"/>
      <c r="O81" s="75"/>
      <c r="P81" s="75"/>
      <c r="Q81" s="75"/>
      <c r="R81" s="7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75"/>
      <c r="E82" s="75"/>
      <c r="F82" s="36"/>
      <c r="G82" s="75"/>
      <c r="H82" s="75"/>
      <c r="I82" s="36"/>
      <c r="J82" s="75"/>
      <c r="K82" s="75"/>
      <c r="L82" s="36"/>
      <c r="M82" s="75"/>
      <c r="N82" s="75"/>
      <c r="O82" s="75"/>
      <c r="P82" s="75"/>
      <c r="Q82" s="75"/>
      <c r="R82" s="7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75"/>
      <c r="E83" s="75"/>
      <c r="F83" s="36"/>
      <c r="G83" s="75"/>
      <c r="H83" s="75"/>
      <c r="I83" s="36"/>
      <c r="J83" s="75"/>
      <c r="K83" s="75"/>
      <c r="L83" s="36"/>
      <c r="M83" s="75"/>
      <c r="N83" s="75"/>
      <c r="O83" s="75"/>
      <c r="P83" s="75"/>
      <c r="Q83" s="75"/>
      <c r="R83" s="7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75"/>
      <c r="E84" s="75"/>
      <c r="F84" s="36"/>
      <c r="G84" s="75"/>
      <c r="H84" s="75"/>
      <c r="I84" s="36"/>
      <c r="J84" s="75"/>
      <c r="K84" s="75"/>
      <c r="L84" s="36"/>
      <c r="M84" s="75"/>
      <c r="N84" s="75"/>
      <c r="O84" s="75"/>
      <c r="P84" s="75"/>
      <c r="Q84" s="75"/>
      <c r="R84" s="7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75"/>
      <c r="E85" s="75"/>
      <c r="F85" s="36"/>
      <c r="G85" s="75"/>
      <c r="H85" s="75"/>
      <c r="I85" s="36"/>
      <c r="J85" s="75"/>
      <c r="K85" s="75"/>
      <c r="L85" s="36"/>
      <c r="M85" s="75"/>
      <c r="N85" s="75"/>
      <c r="O85" s="75"/>
      <c r="P85" s="75"/>
      <c r="Q85" s="75"/>
      <c r="R85" s="7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75"/>
      <c r="E86" s="75"/>
      <c r="F86" s="36"/>
      <c r="G86" s="75"/>
      <c r="H86" s="75"/>
      <c r="I86" s="36"/>
      <c r="J86" s="75"/>
      <c r="K86" s="75"/>
      <c r="L86" s="36"/>
      <c r="M86" s="75"/>
      <c r="N86" s="75"/>
      <c r="O86" s="75"/>
      <c r="P86" s="75"/>
      <c r="Q86" s="75"/>
      <c r="R86" s="7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75"/>
      <c r="E87" s="75"/>
      <c r="F87" s="36"/>
      <c r="G87" s="75"/>
      <c r="H87" s="75"/>
      <c r="I87" s="36"/>
      <c r="J87" s="75"/>
      <c r="K87" s="75"/>
      <c r="L87" s="36"/>
      <c r="M87" s="75"/>
      <c r="N87" s="75"/>
      <c r="O87" s="75"/>
      <c r="P87" s="75"/>
      <c r="Q87" s="75"/>
      <c r="R87" s="7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75"/>
      <c r="E88" s="75"/>
      <c r="F88" s="36"/>
      <c r="G88" s="75"/>
      <c r="H88" s="75"/>
      <c r="I88" s="36"/>
      <c r="J88" s="75"/>
      <c r="K88" s="75"/>
      <c r="L88" s="36"/>
      <c r="M88" s="75"/>
      <c r="N88" s="75"/>
      <c r="O88" s="75"/>
      <c r="P88" s="75"/>
      <c r="Q88" s="75"/>
      <c r="R88" s="7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75"/>
      <c r="E89" s="75"/>
      <c r="F89" s="36"/>
      <c r="G89" s="75"/>
      <c r="H89" s="75"/>
      <c r="I89" s="36"/>
      <c r="J89" s="75"/>
      <c r="K89" s="75"/>
      <c r="L89" s="36"/>
      <c r="M89" s="75"/>
      <c r="N89" s="75"/>
      <c r="O89" s="75"/>
      <c r="P89" s="75"/>
      <c r="Q89" s="75"/>
      <c r="R89" s="7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75"/>
      <c r="E90" s="75"/>
      <c r="F90" s="36"/>
      <c r="G90" s="75"/>
      <c r="H90" s="75"/>
      <c r="I90" s="36"/>
      <c r="J90" s="75"/>
      <c r="K90" s="75"/>
      <c r="L90" s="36"/>
      <c r="M90" s="75"/>
      <c r="N90" s="75"/>
      <c r="O90" s="75"/>
      <c r="P90" s="75"/>
      <c r="Q90" s="75"/>
      <c r="R90" s="7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75"/>
      <c r="E91" s="75"/>
      <c r="F91" s="36"/>
      <c r="G91" s="75"/>
      <c r="H91" s="75"/>
      <c r="I91" s="36"/>
      <c r="J91" s="75"/>
      <c r="K91" s="75"/>
      <c r="L91" s="36"/>
      <c r="M91" s="75"/>
      <c r="N91" s="75"/>
      <c r="O91" s="75"/>
      <c r="P91" s="75"/>
      <c r="Q91" s="75"/>
      <c r="R91" s="7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75"/>
      <c r="E92" s="75"/>
      <c r="F92" s="36"/>
      <c r="G92" s="75"/>
      <c r="H92" s="75"/>
      <c r="I92" s="36"/>
      <c r="J92" s="75"/>
      <c r="K92" s="75"/>
      <c r="L92" s="36"/>
      <c r="M92" s="75"/>
      <c r="N92" s="75"/>
      <c r="O92" s="75"/>
      <c r="P92" s="75"/>
      <c r="Q92" s="75"/>
      <c r="R92" s="7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75"/>
      <c r="E93" s="75"/>
      <c r="F93" s="36"/>
      <c r="G93" s="75"/>
      <c r="H93" s="75"/>
      <c r="I93" s="36"/>
      <c r="J93" s="75"/>
      <c r="K93" s="75"/>
      <c r="L93" s="36"/>
      <c r="M93" s="75"/>
      <c r="N93" s="75"/>
      <c r="O93" s="75"/>
      <c r="P93" s="75"/>
      <c r="Q93" s="75"/>
      <c r="R93" s="7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75"/>
      <c r="E94" s="75"/>
      <c r="F94" s="36"/>
      <c r="G94" s="75"/>
      <c r="H94" s="75"/>
      <c r="I94" s="36"/>
      <c r="J94" s="75"/>
      <c r="K94" s="75"/>
      <c r="L94" s="36"/>
      <c r="M94" s="75"/>
      <c r="N94" s="75"/>
      <c r="O94" s="75"/>
      <c r="P94" s="75"/>
      <c r="Q94" s="75"/>
      <c r="R94" s="7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75"/>
      <c r="E95" s="75"/>
      <c r="F95" s="36"/>
      <c r="G95" s="75"/>
      <c r="H95" s="75"/>
      <c r="I95" s="36"/>
      <c r="J95" s="75"/>
      <c r="K95" s="75"/>
      <c r="L95" s="36"/>
      <c r="M95" s="75"/>
      <c r="N95" s="75"/>
      <c r="O95" s="75"/>
      <c r="P95" s="75"/>
      <c r="Q95" s="75"/>
      <c r="R95" s="7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75"/>
      <c r="E96" s="75"/>
      <c r="F96" s="36"/>
      <c r="G96" s="75"/>
      <c r="H96" s="75"/>
      <c r="I96" s="36"/>
      <c r="J96" s="75"/>
      <c r="K96" s="75"/>
      <c r="L96" s="36"/>
      <c r="M96" s="75"/>
      <c r="N96" s="75"/>
      <c r="O96" s="75"/>
      <c r="P96" s="75"/>
      <c r="Q96" s="75"/>
      <c r="R96" s="7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75"/>
      <c r="E97" s="75"/>
      <c r="F97" s="36"/>
      <c r="G97" s="75"/>
      <c r="H97" s="75"/>
      <c r="I97" s="36"/>
      <c r="J97" s="75"/>
      <c r="K97" s="75"/>
      <c r="L97" s="36"/>
      <c r="M97" s="75"/>
      <c r="N97" s="75"/>
      <c r="O97" s="75"/>
      <c r="P97" s="75"/>
      <c r="Q97" s="75"/>
      <c r="R97" s="7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75"/>
      <c r="E98" s="75"/>
      <c r="F98" s="36"/>
      <c r="G98" s="75"/>
      <c r="H98" s="75"/>
      <c r="I98" s="36"/>
      <c r="J98" s="75"/>
      <c r="K98" s="75"/>
      <c r="L98" s="36"/>
      <c r="M98" s="75"/>
      <c r="N98" s="75"/>
      <c r="O98" s="75"/>
      <c r="P98" s="75"/>
      <c r="Q98" s="75"/>
      <c r="R98" s="7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75"/>
      <c r="E99" s="75"/>
      <c r="F99" s="36"/>
      <c r="G99" s="75"/>
      <c r="H99" s="75"/>
      <c r="I99" s="36"/>
      <c r="J99" s="75"/>
      <c r="K99" s="75"/>
      <c r="L99" s="36"/>
      <c r="M99" s="75"/>
      <c r="N99" s="75"/>
      <c r="O99" s="75"/>
      <c r="P99" s="75"/>
      <c r="Q99" s="75"/>
      <c r="R99" s="7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75"/>
      <c r="E100" s="75"/>
      <c r="F100" s="36"/>
      <c r="G100" s="75"/>
      <c r="H100" s="75"/>
      <c r="I100" s="36"/>
      <c r="J100" s="75"/>
      <c r="K100" s="75"/>
      <c r="L100" s="36"/>
      <c r="M100" s="75"/>
      <c r="N100" s="75"/>
      <c r="O100" s="75"/>
      <c r="P100" s="75"/>
      <c r="Q100" s="75"/>
      <c r="R100" s="7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75"/>
      <c r="E101" s="75"/>
      <c r="F101" s="36"/>
      <c r="G101" s="75"/>
      <c r="H101" s="75"/>
      <c r="I101" s="36"/>
      <c r="J101" s="75"/>
      <c r="K101" s="75"/>
      <c r="L101" s="36"/>
      <c r="M101" s="75"/>
      <c r="N101" s="75"/>
      <c r="O101" s="75"/>
      <c r="P101" s="75"/>
      <c r="Q101" s="75"/>
      <c r="R101" s="7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75"/>
      <c r="E102" s="75"/>
      <c r="F102" s="36"/>
      <c r="G102" s="75"/>
      <c r="H102" s="75"/>
      <c r="I102" s="36"/>
      <c r="J102" s="75"/>
      <c r="K102" s="75"/>
      <c r="L102" s="36"/>
      <c r="M102" s="75"/>
      <c r="N102" s="75"/>
      <c r="O102" s="75"/>
      <c r="P102" s="75"/>
      <c r="Q102" s="75"/>
      <c r="R102" s="7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75"/>
      <c r="E103" s="75"/>
      <c r="F103" s="36"/>
      <c r="G103" s="75"/>
      <c r="H103" s="75"/>
      <c r="I103" s="36"/>
      <c r="J103" s="75"/>
      <c r="K103" s="75"/>
      <c r="L103" s="36"/>
      <c r="M103" s="75"/>
      <c r="N103" s="75"/>
      <c r="O103" s="75"/>
      <c r="P103" s="75"/>
      <c r="Q103" s="75"/>
      <c r="R103" s="7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75"/>
      <c r="E104" s="75"/>
      <c r="F104" s="36"/>
      <c r="G104" s="75"/>
      <c r="H104" s="75"/>
      <c r="I104" s="36"/>
      <c r="J104" s="75"/>
      <c r="K104" s="75"/>
      <c r="L104" s="36"/>
      <c r="M104" s="75"/>
      <c r="N104" s="75"/>
      <c r="O104" s="75"/>
      <c r="P104" s="75"/>
      <c r="Q104" s="75"/>
      <c r="R104" s="7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75"/>
      <c r="E105" s="75"/>
      <c r="F105" s="36"/>
      <c r="G105" s="75"/>
      <c r="H105" s="75"/>
      <c r="I105" s="36"/>
      <c r="J105" s="75"/>
      <c r="K105" s="75"/>
      <c r="L105" s="36"/>
      <c r="M105" s="75"/>
      <c r="N105" s="75"/>
      <c r="O105" s="75"/>
      <c r="P105" s="75"/>
      <c r="Q105" s="75"/>
      <c r="R105" s="7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75"/>
      <c r="E106" s="75"/>
      <c r="F106" s="36"/>
      <c r="G106" s="75"/>
      <c r="H106" s="75"/>
      <c r="I106" s="36"/>
      <c r="J106" s="75"/>
      <c r="K106" s="75"/>
      <c r="L106" s="36"/>
      <c r="M106" s="75"/>
      <c r="N106" s="75"/>
      <c r="O106" s="75"/>
      <c r="P106" s="75"/>
      <c r="Q106" s="75"/>
      <c r="R106" s="7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75"/>
      <c r="E107" s="75"/>
      <c r="F107" s="36"/>
      <c r="G107" s="75"/>
      <c r="H107" s="75"/>
      <c r="I107" s="36"/>
      <c r="J107" s="75"/>
      <c r="K107" s="75"/>
      <c r="L107" s="36"/>
      <c r="M107" s="75"/>
      <c r="N107" s="75"/>
      <c r="O107" s="75"/>
      <c r="P107" s="75"/>
      <c r="Q107" s="75"/>
      <c r="R107" s="7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75"/>
      <c r="E108" s="75"/>
      <c r="F108" s="36"/>
      <c r="G108" s="75"/>
      <c r="H108" s="75"/>
      <c r="I108" s="36"/>
      <c r="J108" s="75"/>
      <c r="K108" s="75"/>
      <c r="L108" s="36"/>
      <c r="M108" s="75"/>
      <c r="N108" s="75"/>
      <c r="O108" s="75"/>
      <c r="P108" s="75"/>
      <c r="Q108" s="75"/>
      <c r="R108" s="7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75"/>
      <c r="E109" s="75"/>
      <c r="F109" s="36"/>
      <c r="G109" s="75"/>
      <c r="H109" s="75"/>
      <c r="I109" s="36"/>
      <c r="J109" s="75"/>
      <c r="K109" s="75"/>
      <c r="L109" s="36"/>
      <c r="M109" s="75"/>
      <c r="N109" s="75"/>
      <c r="O109" s="75"/>
      <c r="P109" s="75"/>
      <c r="Q109" s="75"/>
      <c r="R109" s="7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75"/>
      <c r="E110" s="75"/>
      <c r="F110" s="36"/>
      <c r="G110" s="75"/>
      <c r="H110" s="75"/>
      <c r="I110" s="36"/>
      <c r="J110" s="75"/>
      <c r="K110" s="75"/>
      <c r="L110" s="36"/>
      <c r="M110" s="75"/>
      <c r="N110" s="75"/>
      <c r="O110" s="75"/>
      <c r="P110" s="75"/>
      <c r="Q110" s="75"/>
      <c r="R110" s="7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75"/>
      <c r="E111" s="75"/>
      <c r="F111" s="36"/>
      <c r="G111" s="75"/>
      <c r="H111" s="75"/>
      <c r="I111" s="36"/>
      <c r="J111" s="75"/>
      <c r="K111" s="75"/>
      <c r="L111" s="36"/>
      <c r="M111" s="75"/>
      <c r="N111" s="75"/>
      <c r="O111" s="75"/>
      <c r="P111" s="75"/>
      <c r="Q111" s="75"/>
      <c r="R111" s="7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75"/>
      <c r="E112" s="75"/>
      <c r="F112" s="36"/>
      <c r="G112" s="75"/>
      <c r="H112" s="75"/>
      <c r="I112" s="36"/>
      <c r="J112" s="75"/>
      <c r="K112" s="75"/>
      <c r="L112" s="36"/>
      <c r="M112" s="75"/>
      <c r="N112" s="75"/>
      <c r="O112" s="75"/>
      <c r="P112" s="75"/>
      <c r="Q112" s="75"/>
      <c r="R112" s="7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75"/>
      <c r="E113" s="75"/>
      <c r="F113" s="36"/>
      <c r="G113" s="75"/>
      <c r="H113" s="75"/>
      <c r="I113" s="36"/>
      <c r="J113" s="75"/>
      <c r="K113" s="75"/>
      <c r="L113" s="36"/>
      <c r="M113" s="75"/>
      <c r="N113" s="75"/>
      <c r="O113" s="75"/>
      <c r="P113" s="75"/>
      <c r="Q113" s="75"/>
      <c r="R113" s="7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75"/>
      <c r="E114" s="75"/>
      <c r="F114" s="36"/>
      <c r="G114" s="75"/>
      <c r="H114" s="75"/>
      <c r="I114" s="36"/>
      <c r="J114" s="75"/>
      <c r="K114" s="75"/>
      <c r="L114" s="36"/>
      <c r="M114" s="75"/>
      <c r="N114" s="75"/>
      <c r="O114" s="75"/>
      <c r="P114" s="75"/>
      <c r="Q114" s="75"/>
      <c r="R114" s="7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75"/>
      <c r="E115" s="75"/>
      <c r="F115" s="36"/>
      <c r="G115" s="75"/>
      <c r="H115" s="75"/>
      <c r="I115" s="36"/>
      <c r="J115" s="75"/>
      <c r="K115" s="75"/>
      <c r="L115" s="36"/>
      <c r="M115" s="75"/>
      <c r="N115" s="75"/>
      <c r="O115" s="75"/>
      <c r="P115" s="75"/>
      <c r="Q115" s="75"/>
      <c r="R115" s="7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75"/>
      <c r="E116" s="75"/>
      <c r="F116" s="36"/>
      <c r="G116" s="75"/>
      <c r="H116" s="75"/>
      <c r="I116" s="36"/>
      <c r="J116" s="75"/>
      <c r="K116" s="75"/>
      <c r="L116" s="36"/>
      <c r="M116" s="75"/>
      <c r="N116" s="75"/>
      <c r="O116" s="75"/>
      <c r="P116" s="75"/>
      <c r="Q116" s="75"/>
      <c r="R116" s="7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75"/>
      <c r="E117" s="75"/>
      <c r="F117" s="36"/>
      <c r="G117" s="75"/>
      <c r="H117" s="75"/>
      <c r="I117" s="36"/>
      <c r="J117" s="75"/>
      <c r="K117" s="75"/>
      <c r="L117" s="36"/>
      <c r="M117" s="75"/>
      <c r="N117" s="75"/>
      <c r="O117" s="75"/>
      <c r="P117" s="75"/>
      <c r="Q117" s="75"/>
      <c r="R117" s="7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75"/>
      <c r="E118" s="75"/>
      <c r="F118" s="36"/>
      <c r="G118" s="75"/>
      <c r="H118" s="75"/>
      <c r="I118" s="36"/>
      <c r="J118" s="75"/>
      <c r="K118" s="75"/>
      <c r="L118" s="36"/>
      <c r="M118" s="75"/>
      <c r="N118" s="75"/>
      <c r="O118" s="75"/>
      <c r="P118" s="75"/>
      <c r="Q118" s="75"/>
      <c r="R118" s="7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75"/>
      <c r="E119" s="75"/>
      <c r="F119" s="36"/>
      <c r="G119" s="75"/>
      <c r="H119" s="75"/>
      <c r="I119" s="36"/>
      <c r="J119" s="75"/>
      <c r="K119" s="75"/>
      <c r="L119" s="36"/>
      <c r="M119" s="75"/>
      <c r="N119" s="75"/>
      <c r="O119" s="75"/>
      <c r="P119" s="75"/>
      <c r="Q119" s="75"/>
      <c r="R119" s="7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75"/>
      <c r="E120" s="75"/>
      <c r="F120" s="36"/>
      <c r="G120" s="75"/>
      <c r="H120" s="75"/>
      <c r="I120" s="36"/>
      <c r="J120" s="75"/>
      <c r="K120" s="75"/>
      <c r="L120" s="36"/>
      <c r="M120" s="75"/>
      <c r="N120" s="75"/>
      <c r="O120" s="75"/>
      <c r="P120" s="75"/>
      <c r="Q120" s="75"/>
      <c r="R120" s="7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75"/>
      <c r="E121" s="75"/>
      <c r="F121" s="36"/>
      <c r="G121" s="75"/>
      <c r="H121" s="75"/>
      <c r="I121" s="36"/>
      <c r="J121" s="75"/>
      <c r="K121" s="75"/>
      <c r="L121" s="36"/>
      <c r="M121" s="75"/>
      <c r="N121" s="75"/>
      <c r="O121" s="75"/>
      <c r="P121" s="75"/>
      <c r="Q121" s="75"/>
      <c r="R121" s="7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75"/>
      <c r="E122" s="75"/>
      <c r="F122" s="36"/>
      <c r="G122" s="75"/>
      <c r="H122" s="75"/>
      <c r="I122" s="36"/>
      <c r="J122" s="75"/>
      <c r="K122" s="75"/>
      <c r="L122" s="36"/>
      <c r="M122" s="75"/>
      <c r="N122" s="75"/>
      <c r="O122" s="75"/>
      <c r="P122" s="75"/>
      <c r="Q122" s="75"/>
      <c r="R122" s="7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75"/>
      <c r="E123" s="75"/>
      <c r="F123" s="36"/>
      <c r="G123" s="75"/>
      <c r="H123" s="75"/>
      <c r="I123" s="36"/>
      <c r="J123" s="75"/>
      <c r="K123" s="75"/>
      <c r="L123" s="36"/>
      <c r="M123" s="75"/>
      <c r="N123" s="75"/>
      <c r="O123" s="75"/>
      <c r="P123" s="75"/>
      <c r="Q123" s="75"/>
      <c r="R123" s="7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75"/>
      <c r="E124" s="75"/>
      <c r="F124" s="36"/>
      <c r="G124" s="75"/>
      <c r="H124" s="75"/>
      <c r="I124" s="36"/>
      <c r="J124" s="75"/>
      <c r="K124" s="75"/>
      <c r="L124" s="36"/>
      <c r="M124" s="75"/>
      <c r="N124" s="75"/>
      <c r="O124" s="75"/>
      <c r="P124" s="75"/>
      <c r="Q124" s="75"/>
      <c r="R124" s="7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75"/>
      <c r="E125" s="75"/>
      <c r="F125" s="36"/>
      <c r="G125" s="75"/>
      <c r="H125" s="75"/>
      <c r="I125" s="36"/>
      <c r="J125" s="75"/>
      <c r="K125" s="75"/>
      <c r="L125" s="36"/>
      <c r="M125" s="75"/>
      <c r="N125" s="75"/>
      <c r="O125" s="75"/>
      <c r="P125" s="75"/>
      <c r="Q125" s="75"/>
      <c r="R125" s="7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75"/>
      <c r="E126" s="75"/>
      <c r="F126" s="36"/>
      <c r="G126" s="75"/>
      <c r="H126" s="75"/>
      <c r="I126" s="36"/>
      <c r="J126" s="75"/>
      <c r="K126" s="75"/>
      <c r="L126" s="36"/>
      <c r="M126" s="75"/>
      <c r="N126" s="75"/>
      <c r="O126" s="75"/>
      <c r="P126" s="75"/>
      <c r="Q126" s="75"/>
      <c r="R126" s="7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75"/>
      <c r="E127" s="75"/>
      <c r="F127" s="36"/>
      <c r="G127" s="75"/>
      <c r="H127" s="75"/>
      <c r="I127" s="36"/>
      <c r="J127" s="75"/>
      <c r="K127" s="75"/>
      <c r="L127" s="36"/>
      <c r="M127" s="75"/>
      <c r="N127" s="75"/>
      <c r="O127" s="75"/>
      <c r="P127" s="75"/>
      <c r="Q127" s="75"/>
      <c r="R127" s="7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75"/>
      <c r="E128" s="75"/>
      <c r="F128" s="36"/>
      <c r="G128" s="75"/>
      <c r="H128" s="75"/>
      <c r="I128" s="36"/>
      <c r="J128" s="75"/>
      <c r="K128" s="75"/>
      <c r="L128" s="36"/>
      <c r="M128" s="75"/>
      <c r="N128" s="75"/>
      <c r="O128" s="75"/>
      <c r="P128" s="75"/>
      <c r="Q128" s="75"/>
      <c r="R128" s="7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75"/>
      <c r="E129" s="75"/>
      <c r="F129" s="36"/>
      <c r="G129" s="75"/>
      <c r="H129" s="75"/>
      <c r="I129" s="36"/>
      <c r="J129" s="75"/>
      <c r="K129" s="75"/>
      <c r="L129" s="36"/>
      <c r="M129" s="75"/>
      <c r="N129" s="75"/>
      <c r="O129" s="75"/>
      <c r="P129" s="75"/>
      <c r="Q129" s="75"/>
      <c r="R129" s="7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75"/>
      <c r="E130" s="75"/>
      <c r="F130" s="36"/>
      <c r="G130" s="75"/>
      <c r="H130" s="75"/>
      <c r="I130" s="36"/>
      <c r="J130" s="75"/>
      <c r="K130" s="75"/>
      <c r="L130" s="36"/>
      <c r="M130" s="75"/>
      <c r="N130" s="75"/>
      <c r="O130" s="75"/>
      <c r="P130" s="75"/>
      <c r="Q130" s="75"/>
      <c r="R130" s="7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75"/>
      <c r="E131" s="75"/>
      <c r="F131" s="36"/>
      <c r="G131" s="75"/>
      <c r="H131" s="75"/>
      <c r="I131" s="36"/>
      <c r="J131" s="75"/>
      <c r="K131" s="75"/>
      <c r="L131" s="36"/>
      <c r="M131" s="75"/>
      <c r="N131" s="75"/>
      <c r="O131" s="75"/>
      <c r="P131" s="75"/>
      <c r="Q131" s="75"/>
      <c r="R131" s="7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75"/>
      <c r="E132" s="75"/>
      <c r="F132" s="36"/>
      <c r="G132" s="75"/>
      <c r="H132" s="75"/>
      <c r="I132" s="36"/>
      <c r="J132" s="75"/>
      <c r="K132" s="75"/>
      <c r="L132" s="36"/>
      <c r="M132" s="75"/>
      <c r="N132" s="75"/>
      <c r="O132" s="75"/>
      <c r="P132" s="75"/>
      <c r="Q132" s="75"/>
      <c r="R132" s="7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75"/>
      <c r="E133" s="75"/>
      <c r="F133" s="36"/>
      <c r="G133" s="75"/>
      <c r="H133" s="75"/>
      <c r="I133" s="36"/>
      <c r="J133" s="75"/>
      <c r="K133" s="75"/>
      <c r="L133" s="36"/>
      <c r="M133" s="75"/>
      <c r="N133" s="75"/>
      <c r="O133" s="75"/>
      <c r="P133" s="75"/>
      <c r="Q133" s="75"/>
      <c r="R133" s="7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75"/>
      <c r="E134" s="75"/>
      <c r="F134" s="36"/>
      <c r="G134" s="75"/>
      <c r="H134" s="75"/>
      <c r="I134" s="36"/>
      <c r="J134" s="75"/>
      <c r="K134" s="75"/>
      <c r="L134" s="36"/>
      <c r="M134" s="75"/>
      <c r="N134" s="75"/>
      <c r="O134" s="75"/>
      <c r="P134" s="75"/>
      <c r="Q134" s="75"/>
      <c r="R134" s="7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75"/>
      <c r="E135" s="75"/>
      <c r="F135" s="36"/>
      <c r="G135" s="75"/>
      <c r="H135" s="75"/>
      <c r="I135" s="36"/>
      <c r="J135" s="75"/>
      <c r="K135" s="75"/>
      <c r="L135" s="36"/>
      <c r="M135" s="75"/>
      <c r="N135" s="75"/>
      <c r="O135" s="75"/>
      <c r="P135" s="75"/>
      <c r="Q135" s="75"/>
      <c r="R135" s="7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75"/>
      <c r="E136" s="75"/>
      <c r="F136" s="36"/>
      <c r="G136" s="75"/>
      <c r="H136" s="75"/>
      <c r="I136" s="36"/>
      <c r="J136" s="75"/>
      <c r="K136" s="75"/>
      <c r="L136" s="36"/>
      <c r="M136" s="75"/>
      <c r="N136" s="75"/>
      <c r="O136" s="75"/>
      <c r="P136" s="75"/>
      <c r="Q136" s="75"/>
      <c r="R136" s="7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75"/>
      <c r="E137" s="75"/>
      <c r="F137" s="36"/>
      <c r="G137" s="75"/>
      <c r="H137" s="75"/>
      <c r="I137" s="36"/>
      <c r="J137" s="75"/>
      <c r="K137" s="75"/>
      <c r="L137" s="36"/>
      <c r="M137" s="75"/>
      <c r="N137" s="75"/>
      <c r="O137" s="75"/>
      <c r="P137" s="75"/>
      <c r="Q137" s="75"/>
      <c r="R137" s="7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75"/>
      <c r="E138" s="75"/>
      <c r="F138" s="36"/>
      <c r="G138" s="75"/>
      <c r="H138" s="75"/>
      <c r="I138" s="36"/>
      <c r="J138" s="75"/>
      <c r="K138" s="75"/>
      <c r="L138" s="36"/>
      <c r="M138" s="75"/>
      <c r="N138" s="75"/>
      <c r="O138" s="75"/>
      <c r="P138" s="75"/>
      <c r="Q138" s="75"/>
      <c r="R138" s="7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75"/>
      <c r="E139" s="75"/>
      <c r="F139" s="36"/>
      <c r="G139" s="75"/>
      <c r="H139" s="75"/>
      <c r="I139" s="36"/>
      <c r="J139" s="75"/>
      <c r="K139" s="75"/>
      <c r="L139" s="36"/>
      <c r="M139" s="75"/>
      <c r="N139" s="75"/>
      <c r="O139" s="75"/>
      <c r="P139" s="75"/>
      <c r="Q139" s="75"/>
      <c r="R139" s="7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75"/>
      <c r="E140" s="75"/>
      <c r="F140" s="36"/>
      <c r="G140" s="75"/>
      <c r="H140" s="75"/>
      <c r="I140" s="36"/>
      <c r="J140" s="75"/>
      <c r="K140" s="75"/>
      <c r="L140" s="36"/>
      <c r="M140" s="75"/>
      <c r="N140" s="75"/>
      <c r="O140" s="75"/>
      <c r="P140" s="75"/>
      <c r="Q140" s="75"/>
      <c r="R140" s="7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75"/>
      <c r="E141" s="75"/>
      <c r="F141" s="36"/>
      <c r="G141" s="75"/>
      <c r="H141" s="75"/>
      <c r="I141" s="36"/>
      <c r="J141" s="75"/>
      <c r="K141" s="75"/>
      <c r="L141" s="36"/>
      <c r="M141" s="75"/>
      <c r="N141" s="75"/>
      <c r="O141" s="75"/>
      <c r="P141" s="75"/>
      <c r="Q141" s="75"/>
      <c r="R141" s="7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75"/>
      <c r="E142" s="75"/>
      <c r="F142" s="36"/>
      <c r="G142" s="75"/>
      <c r="H142" s="75"/>
      <c r="I142" s="36"/>
      <c r="J142" s="75"/>
      <c r="K142" s="75"/>
      <c r="L142" s="36"/>
      <c r="M142" s="75"/>
      <c r="N142" s="75"/>
      <c r="O142" s="75"/>
      <c r="P142" s="75"/>
      <c r="Q142" s="75"/>
      <c r="R142" s="7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75"/>
      <c r="E143" s="75"/>
      <c r="F143" s="36"/>
      <c r="G143" s="75"/>
      <c r="H143" s="75"/>
      <c r="I143" s="36"/>
      <c r="J143" s="75"/>
      <c r="K143" s="75"/>
      <c r="L143" s="36"/>
      <c r="M143" s="75"/>
      <c r="N143" s="75"/>
      <c r="O143" s="75"/>
      <c r="P143" s="75"/>
      <c r="Q143" s="75"/>
      <c r="R143" s="7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75"/>
      <c r="E144" s="75"/>
      <c r="F144" s="36"/>
      <c r="G144" s="75"/>
      <c r="H144" s="75"/>
      <c r="I144" s="36"/>
      <c r="J144" s="75"/>
      <c r="K144" s="75"/>
      <c r="L144" s="36"/>
      <c r="M144" s="75"/>
      <c r="N144" s="75"/>
      <c r="O144" s="75"/>
      <c r="P144" s="75"/>
      <c r="Q144" s="75"/>
      <c r="R144" s="7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75"/>
      <c r="E145" s="75"/>
      <c r="F145" s="36"/>
      <c r="G145" s="75"/>
      <c r="H145" s="75"/>
      <c r="I145" s="36"/>
      <c r="J145" s="75"/>
      <c r="K145" s="75"/>
      <c r="L145" s="36"/>
      <c r="M145" s="75"/>
      <c r="N145" s="75"/>
      <c r="O145" s="75"/>
      <c r="P145" s="75"/>
      <c r="Q145" s="75"/>
      <c r="R145" s="7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75"/>
      <c r="E146" s="75"/>
      <c r="F146" s="36"/>
      <c r="G146" s="75"/>
      <c r="H146" s="75"/>
      <c r="I146" s="36"/>
      <c r="J146" s="75"/>
      <c r="K146" s="75"/>
      <c r="L146" s="36"/>
      <c r="M146" s="75"/>
      <c r="N146" s="75"/>
      <c r="O146" s="75"/>
      <c r="P146" s="75"/>
      <c r="Q146" s="75"/>
      <c r="R146" s="7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75"/>
      <c r="E147" s="75"/>
      <c r="F147" s="36"/>
      <c r="G147" s="75"/>
      <c r="H147" s="75"/>
      <c r="I147" s="36"/>
      <c r="J147" s="75"/>
      <c r="K147" s="75"/>
      <c r="L147" s="36"/>
      <c r="M147" s="75"/>
      <c r="N147" s="75"/>
      <c r="O147" s="75"/>
      <c r="P147" s="75"/>
      <c r="Q147" s="75"/>
      <c r="R147" s="7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75"/>
      <c r="E148" s="75"/>
      <c r="F148" s="36"/>
      <c r="G148" s="75"/>
      <c r="H148" s="75"/>
      <c r="I148" s="36"/>
      <c r="J148" s="75"/>
      <c r="K148" s="75"/>
      <c r="L148" s="36"/>
      <c r="M148" s="75"/>
      <c r="N148" s="75"/>
      <c r="O148" s="75"/>
      <c r="P148" s="75"/>
      <c r="Q148" s="75"/>
      <c r="R148" s="7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75"/>
      <c r="E149" s="75"/>
      <c r="F149" s="36"/>
      <c r="G149" s="75"/>
      <c r="H149" s="75"/>
      <c r="I149" s="36"/>
      <c r="J149" s="75"/>
      <c r="K149" s="75"/>
      <c r="L149" s="36"/>
      <c r="M149" s="75"/>
      <c r="N149" s="75"/>
      <c r="O149" s="75"/>
      <c r="P149" s="75"/>
      <c r="Q149" s="75"/>
      <c r="R149" s="7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75"/>
      <c r="E150" s="75"/>
      <c r="F150" s="36"/>
      <c r="G150" s="75"/>
      <c r="H150" s="75"/>
      <c r="I150" s="36"/>
      <c r="J150" s="75"/>
      <c r="K150" s="75"/>
      <c r="L150" s="36"/>
      <c r="M150" s="75"/>
      <c r="N150" s="75"/>
      <c r="O150" s="75"/>
      <c r="P150" s="75"/>
      <c r="Q150" s="75"/>
      <c r="R150" s="7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75"/>
      <c r="E151" s="75"/>
      <c r="F151" s="36"/>
      <c r="G151" s="75"/>
      <c r="H151" s="75"/>
      <c r="I151" s="36"/>
      <c r="J151" s="75"/>
      <c r="K151" s="75"/>
      <c r="L151" s="36"/>
      <c r="M151" s="75"/>
      <c r="N151" s="75"/>
      <c r="O151" s="75"/>
      <c r="P151" s="75"/>
      <c r="Q151" s="75"/>
      <c r="R151" s="7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75"/>
      <c r="E152" s="75"/>
      <c r="F152" s="36"/>
      <c r="G152" s="75"/>
      <c r="H152" s="75"/>
      <c r="I152" s="36"/>
      <c r="J152" s="75"/>
      <c r="K152" s="75"/>
      <c r="L152" s="36"/>
      <c r="M152" s="75"/>
      <c r="N152" s="75"/>
      <c r="O152" s="75"/>
      <c r="P152" s="75"/>
      <c r="Q152" s="75"/>
      <c r="R152" s="7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75"/>
      <c r="E153" s="75"/>
      <c r="F153" s="36"/>
      <c r="G153" s="75"/>
      <c r="H153" s="75"/>
      <c r="I153" s="36"/>
      <c r="J153" s="75"/>
      <c r="K153" s="75"/>
      <c r="L153" s="36"/>
      <c r="M153" s="75"/>
      <c r="N153" s="75"/>
      <c r="O153" s="75"/>
      <c r="P153" s="75"/>
      <c r="Q153" s="75"/>
      <c r="R153" s="7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75"/>
      <c r="E154" s="75"/>
      <c r="F154" s="36"/>
      <c r="G154" s="75"/>
      <c r="H154" s="75"/>
      <c r="I154" s="36"/>
      <c r="J154" s="75"/>
      <c r="K154" s="75"/>
      <c r="L154" s="36"/>
      <c r="M154" s="75"/>
      <c r="N154" s="75"/>
      <c r="O154" s="75"/>
      <c r="P154" s="75"/>
      <c r="Q154" s="75"/>
      <c r="R154" s="7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75"/>
      <c r="E155" s="75"/>
      <c r="F155" s="36"/>
      <c r="G155" s="75"/>
      <c r="H155" s="75"/>
      <c r="I155" s="36"/>
      <c r="J155" s="75"/>
      <c r="K155" s="75"/>
      <c r="L155" s="36"/>
      <c r="M155" s="75"/>
      <c r="N155" s="75"/>
      <c r="O155" s="75"/>
      <c r="P155" s="75"/>
      <c r="Q155" s="75"/>
      <c r="R155" s="7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75"/>
      <c r="E156" s="75"/>
      <c r="F156" s="36"/>
      <c r="G156" s="75"/>
      <c r="H156" s="75"/>
      <c r="I156" s="36"/>
      <c r="J156" s="75"/>
      <c r="K156" s="75"/>
      <c r="L156" s="36"/>
      <c r="M156" s="75"/>
      <c r="N156" s="75"/>
      <c r="O156" s="75"/>
      <c r="P156" s="75"/>
      <c r="Q156" s="75"/>
      <c r="R156" s="7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75"/>
      <c r="E157" s="75"/>
      <c r="F157" s="36"/>
      <c r="G157" s="75"/>
      <c r="H157" s="75"/>
      <c r="I157" s="36"/>
      <c r="J157" s="75"/>
      <c r="K157" s="75"/>
      <c r="L157" s="36"/>
      <c r="M157" s="75"/>
      <c r="N157" s="75"/>
      <c r="O157" s="75"/>
      <c r="P157" s="75"/>
      <c r="Q157" s="75"/>
      <c r="R157" s="7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75"/>
      <c r="E158" s="75"/>
      <c r="F158" s="36"/>
      <c r="G158" s="75"/>
      <c r="H158" s="75"/>
      <c r="I158" s="36"/>
      <c r="J158" s="75"/>
      <c r="K158" s="75"/>
      <c r="L158" s="36"/>
      <c r="M158" s="75"/>
      <c r="N158" s="75"/>
      <c r="O158" s="75"/>
      <c r="P158" s="75"/>
      <c r="Q158" s="75"/>
      <c r="R158" s="7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75"/>
      <c r="E159" s="75"/>
      <c r="F159" s="36"/>
      <c r="G159" s="75"/>
      <c r="H159" s="75"/>
      <c r="I159" s="36"/>
      <c r="J159" s="75"/>
      <c r="K159" s="75"/>
      <c r="L159" s="36"/>
      <c r="M159" s="75"/>
      <c r="N159" s="75"/>
      <c r="O159" s="75"/>
      <c r="P159" s="75"/>
      <c r="Q159" s="75"/>
      <c r="R159" s="7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75"/>
      <c r="E160" s="75"/>
      <c r="F160" s="36"/>
      <c r="G160" s="75"/>
      <c r="H160" s="75"/>
      <c r="I160" s="36"/>
      <c r="J160" s="75"/>
      <c r="K160" s="75"/>
      <c r="L160" s="36"/>
      <c r="M160" s="75"/>
      <c r="N160" s="75"/>
      <c r="O160" s="75"/>
      <c r="P160" s="75"/>
      <c r="Q160" s="75"/>
      <c r="R160" s="7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75"/>
      <c r="E161" s="75"/>
      <c r="F161" s="36"/>
      <c r="G161" s="75"/>
      <c r="H161" s="75"/>
      <c r="I161" s="36"/>
      <c r="J161" s="75"/>
      <c r="K161" s="75"/>
      <c r="L161" s="36"/>
      <c r="M161" s="75"/>
      <c r="N161" s="75"/>
      <c r="O161" s="75"/>
      <c r="P161" s="75"/>
      <c r="Q161" s="75"/>
      <c r="R161" s="7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75"/>
      <c r="E162" s="75"/>
      <c r="F162" s="36"/>
      <c r="G162" s="75"/>
      <c r="H162" s="75"/>
      <c r="I162" s="36"/>
      <c r="J162" s="75"/>
      <c r="K162" s="75"/>
      <c r="L162" s="36"/>
      <c r="M162" s="75"/>
      <c r="N162" s="75"/>
      <c r="O162" s="75"/>
      <c r="P162" s="75"/>
      <c r="Q162" s="75"/>
      <c r="R162" s="7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75"/>
      <c r="E163" s="75"/>
      <c r="F163" s="36"/>
      <c r="G163" s="75"/>
      <c r="H163" s="75"/>
      <c r="I163" s="36"/>
      <c r="J163" s="75"/>
      <c r="K163" s="75"/>
      <c r="L163" s="36"/>
      <c r="M163" s="75"/>
      <c r="N163" s="75"/>
      <c r="O163" s="75"/>
      <c r="P163" s="75"/>
      <c r="Q163" s="75"/>
      <c r="R163" s="7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75"/>
      <c r="E164" s="75"/>
      <c r="F164" s="36"/>
      <c r="G164" s="75"/>
      <c r="H164" s="75"/>
      <c r="I164" s="36"/>
      <c r="J164" s="75"/>
      <c r="K164" s="75"/>
      <c r="L164" s="36"/>
      <c r="M164" s="75"/>
      <c r="N164" s="75"/>
      <c r="O164" s="75"/>
      <c r="P164" s="75"/>
      <c r="Q164" s="75"/>
      <c r="R164" s="7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75"/>
      <c r="E165" s="75"/>
      <c r="F165" s="36"/>
      <c r="G165" s="75"/>
      <c r="H165" s="75"/>
      <c r="I165" s="36"/>
      <c r="J165" s="75"/>
      <c r="K165" s="75"/>
      <c r="L165" s="36"/>
      <c r="M165" s="75"/>
      <c r="N165" s="75"/>
      <c r="O165" s="75"/>
      <c r="P165" s="75"/>
      <c r="Q165" s="75"/>
      <c r="R165" s="7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75"/>
      <c r="E166" s="75"/>
      <c r="F166" s="36"/>
      <c r="G166" s="75"/>
      <c r="H166" s="75"/>
      <c r="I166" s="36"/>
      <c r="J166" s="75"/>
      <c r="K166" s="75"/>
      <c r="L166" s="36"/>
      <c r="M166" s="75"/>
      <c r="N166" s="75"/>
      <c r="O166" s="75"/>
      <c r="P166" s="75"/>
      <c r="Q166" s="75"/>
      <c r="R166" s="7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75"/>
      <c r="E167" s="75"/>
      <c r="F167" s="36"/>
      <c r="G167" s="75"/>
      <c r="H167" s="75"/>
      <c r="I167" s="36"/>
      <c r="J167" s="75"/>
      <c r="K167" s="75"/>
      <c r="L167" s="36"/>
      <c r="M167" s="75"/>
      <c r="N167" s="75"/>
      <c r="O167" s="75"/>
      <c r="P167" s="75"/>
      <c r="Q167" s="75"/>
      <c r="R167" s="7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75"/>
      <c r="E168" s="75"/>
      <c r="F168" s="36"/>
      <c r="G168" s="75"/>
      <c r="H168" s="75"/>
      <c r="I168" s="36"/>
      <c r="J168" s="75"/>
      <c r="K168" s="75"/>
      <c r="L168" s="36"/>
      <c r="M168" s="75"/>
      <c r="N168" s="75"/>
      <c r="O168" s="75"/>
      <c r="P168" s="75"/>
      <c r="Q168" s="75"/>
      <c r="R168" s="7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75"/>
      <c r="E169" s="75"/>
      <c r="F169" s="36"/>
      <c r="G169" s="75"/>
      <c r="H169" s="75"/>
      <c r="I169" s="36"/>
      <c r="J169" s="75"/>
      <c r="K169" s="75"/>
      <c r="L169" s="36"/>
      <c r="M169" s="75"/>
      <c r="N169" s="75"/>
      <c r="O169" s="75"/>
      <c r="P169" s="75"/>
      <c r="Q169" s="75"/>
      <c r="R169" s="7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75"/>
      <c r="E170" s="75"/>
      <c r="F170" s="36"/>
      <c r="G170" s="75"/>
      <c r="H170" s="75"/>
      <c r="I170" s="36"/>
      <c r="J170" s="75"/>
      <c r="K170" s="75"/>
      <c r="L170" s="36"/>
      <c r="M170" s="75"/>
      <c r="N170" s="75"/>
      <c r="O170" s="75"/>
      <c r="P170" s="75"/>
      <c r="Q170" s="75"/>
      <c r="R170" s="7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75"/>
      <c r="E171" s="75"/>
      <c r="F171" s="36"/>
      <c r="G171" s="75"/>
      <c r="H171" s="75"/>
      <c r="I171" s="36"/>
      <c r="J171" s="75"/>
      <c r="K171" s="75"/>
      <c r="L171" s="36"/>
      <c r="M171" s="75"/>
      <c r="N171" s="75"/>
      <c r="O171" s="75"/>
      <c r="P171" s="75"/>
      <c r="Q171" s="75"/>
      <c r="R171" s="7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75"/>
      <c r="E172" s="75"/>
      <c r="F172" s="36"/>
      <c r="G172" s="75"/>
      <c r="H172" s="75"/>
      <c r="I172" s="36"/>
      <c r="J172" s="75"/>
      <c r="K172" s="75"/>
      <c r="L172" s="36"/>
      <c r="M172" s="75"/>
      <c r="N172" s="75"/>
      <c r="O172" s="75"/>
      <c r="P172" s="75"/>
      <c r="Q172" s="75"/>
      <c r="R172" s="7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75"/>
      <c r="E173" s="75"/>
      <c r="F173" s="36"/>
      <c r="G173" s="75"/>
      <c r="H173" s="75"/>
      <c r="I173" s="36"/>
      <c r="J173" s="75"/>
      <c r="K173" s="75"/>
      <c r="L173" s="36"/>
      <c r="M173" s="75"/>
      <c r="N173" s="75"/>
      <c r="O173" s="75"/>
      <c r="P173" s="75"/>
      <c r="Q173" s="75"/>
      <c r="R173" s="7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75"/>
      <c r="E174" s="75"/>
      <c r="F174" s="36"/>
      <c r="G174" s="75"/>
      <c r="H174" s="75"/>
      <c r="I174" s="36"/>
      <c r="J174" s="75"/>
      <c r="K174" s="75"/>
      <c r="L174" s="36"/>
      <c r="M174" s="75"/>
      <c r="N174" s="75"/>
      <c r="O174" s="75"/>
      <c r="P174" s="75"/>
      <c r="Q174" s="75"/>
      <c r="R174" s="7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75"/>
      <c r="E175" s="75"/>
      <c r="F175" s="36"/>
      <c r="G175" s="75"/>
      <c r="H175" s="75"/>
      <c r="I175" s="36"/>
      <c r="J175" s="75"/>
      <c r="K175" s="75"/>
      <c r="L175" s="36"/>
      <c r="M175" s="75"/>
      <c r="N175" s="75"/>
      <c r="O175" s="75"/>
      <c r="P175" s="75"/>
      <c r="Q175" s="75"/>
      <c r="R175" s="7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75"/>
      <c r="E176" s="75"/>
      <c r="F176" s="36"/>
      <c r="G176" s="75"/>
      <c r="H176" s="75"/>
      <c r="I176" s="36"/>
      <c r="J176" s="75"/>
      <c r="K176" s="75"/>
      <c r="L176" s="36"/>
      <c r="M176" s="75"/>
      <c r="N176" s="75"/>
      <c r="O176" s="75"/>
      <c r="P176" s="75"/>
      <c r="Q176" s="75"/>
      <c r="R176" s="7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75"/>
      <c r="E177" s="75"/>
      <c r="F177" s="36"/>
      <c r="G177" s="75"/>
      <c r="H177" s="75"/>
      <c r="I177" s="36"/>
      <c r="J177" s="75"/>
      <c r="K177" s="75"/>
      <c r="L177" s="36"/>
      <c r="M177" s="75"/>
      <c r="N177" s="75"/>
      <c r="O177" s="75"/>
      <c r="P177" s="75"/>
      <c r="Q177" s="75"/>
      <c r="R177" s="7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75"/>
      <c r="E178" s="75"/>
      <c r="F178" s="36"/>
      <c r="G178" s="75"/>
      <c r="H178" s="75"/>
      <c r="I178" s="36"/>
      <c r="J178" s="75"/>
      <c r="K178" s="75"/>
      <c r="L178" s="36"/>
      <c r="M178" s="75"/>
      <c r="N178" s="75"/>
      <c r="O178" s="75"/>
      <c r="P178" s="75"/>
      <c r="Q178" s="75"/>
      <c r="R178" s="7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75"/>
      <c r="E179" s="75"/>
      <c r="F179" s="36"/>
      <c r="G179" s="75"/>
      <c r="H179" s="75"/>
      <c r="I179" s="36"/>
      <c r="J179" s="75"/>
      <c r="K179" s="75"/>
      <c r="L179" s="36"/>
      <c r="M179" s="75"/>
      <c r="N179" s="75"/>
      <c r="O179" s="75"/>
      <c r="P179" s="75"/>
      <c r="Q179" s="75"/>
      <c r="R179" s="7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75"/>
      <c r="E180" s="75"/>
      <c r="F180" s="36"/>
      <c r="G180" s="75"/>
      <c r="H180" s="75"/>
      <c r="I180" s="36"/>
      <c r="J180" s="75"/>
      <c r="K180" s="75"/>
      <c r="L180" s="36"/>
      <c r="M180" s="75"/>
      <c r="N180" s="75"/>
      <c r="O180" s="75"/>
      <c r="P180" s="75"/>
      <c r="Q180" s="75"/>
      <c r="R180" s="7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75"/>
      <c r="E181" s="75"/>
      <c r="F181" s="36"/>
      <c r="G181" s="75"/>
      <c r="H181" s="75"/>
      <c r="I181" s="36"/>
      <c r="J181" s="75"/>
      <c r="K181" s="75"/>
      <c r="L181" s="36"/>
      <c r="M181" s="75"/>
      <c r="N181" s="75"/>
      <c r="O181" s="75"/>
      <c r="P181" s="75"/>
      <c r="Q181" s="75"/>
      <c r="R181" s="7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75"/>
      <c r="E182" s="75"/>
      <c r="F182" s="36"/>
      <c r="G182" s="75"/>
      <c r="H182" s="75"/>
      <c r="I182" s="36"/>
      <c r="J182" s="75"/>
      <c r="K182" s="75"/>
      <c r="L182" s="36"/>
      <c r="M182" s="75"/>
      <c r="N182" s="75"/>
      <c r="O182" s="75"/>
      <c r="P182" s="75"/>
      <c r="Q182" s="75"/>
      <c r="R182" s="7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75"/>
      <c r="E183" s="75"/>
      <c r="F183" s="36"/>
      <c r="G183" s="75"/>
      <c r="H183" s="75"/>
      <c r="I183" s="36"/>
      <c r="J183" s="75"/>
      <c r="K183" s="75"/>
      <c r="L183" s="36"/>
      <c r="M183" s="75"/>
      <c r="N183" s="75"/>
      <c r="O183" s="75"/>
      <c r="P183" s="75"/>
      <c r="Q183" s="75"/>
      <c r="R183" s="7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75"/>
      <c r="E184" s="75"/>
      <c r="F184" s="36"/>
      <c r="G184" s="75"/>
      <c r="H184" s="75"/>
      <c r="I184" s="36"/>
      <c r="J184" s="75"/>
      <c r="K184" s="75"/>
      <c r="L184" s="36"/>
      <c r="M184" s="75"/>
      <c r="N184" s="75"/>
      <c r="O184" s="75"/>
      <c r="P184" s="75"/>
      <c r="Q184" s="75"/>
      <c r="R184" s="7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75"/>
      <c r="E185" s="75"/>
      <c r="F185" s="36"/>
      <c r="G185" s="75"/>
      <c r="H185" s="75"/>
      <c r="I185" s="36"/>
      <c r="J185" s="75"/>
      <c r="K185" s="75"/>
      <c r="L185" s="36"/>
      <c r="M185" s="75"/>
      <c r="N185" s="75"/>
      <c r="O185" s="75"/>
      <c r="P185" s="75"/>
      <c r="Q185" s="75"/>
      <c r="R185" s="7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75"/>
      <c r="E186" s="75"/>
      <c r="F186" s="36"/>
      <c r="G186" s="75"/>
      <c r="H186" s="75"/>
      <c r="I186" s="36"/>
      <c r="J186" s="75"/>
      <c r="K186" s="75"/>
      <c r="L186" s="36"/>
      <c r="M186" s="75"/>
      <c r="N186" s="75"/>
      <c r="O186" s="75"/>
      <c r="P186" s="75"/>
      <c r="Q186" s="75"/>
      <c r="R186" s="7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75"/>
      <c r="E187" s="75"/>
      <c r="F187" s="36"/>
      <c r="G187" s="75"/>
      <c r="H187" s="75"/>
      <c r="I187" s="36"/>
      <c r="J187" s="75"/>
      <c r="K187" s="75"/>
      <c r="L187" s="36"/>
      <c r="M187" s="75"/>
      <c r="N187" s="75"/>
      <c r="O187" s="75"/>
      <c r="P187" s="75"/>
      <c r="Q187" s="75"/>
      <c r="R187" s="7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75"/>
      <c r="E188" s="75"/>
      <c r="F188" s="36"/>
      <c r="G188" s="75"/>
      <c r="H188" s="75"/>
      <c r="I188" s="36"/>
      <c r="J188" s="75"/>
      <c r="K188" s="75"/>
      <c r="L188" s="36"/>
      <c r="M188" s="75"/>
      <c r="N188" s="75"/>
      <c r="O188" s="75"/>
      <c r="P188" s="75"/>
      <c r="Q188" s="75"/>
      <c r="R188" s="7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75"/>
      <c r="E189" s="75"/>
      <c r="F189" s="36"/>
      <c r="G189" s="75"/>
      <c r="H189" s="75"/>
      <c r="I189" s="36"/>
      <c r="J189" s="75"/>
      <c r="K189" s="75"/>
      <c r="L189" s="36"/>
      <c r="M189" s="75"/>
      <c r="N189" s="75"/>
      <c r="O189" s="75"/>
      <c r="P189" s="75"/>
      <c r="Q189" s="75"/>
      <c r="R189" s="7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75"/>
      <c r="E190" s="75"/>
      <c r="F190" s="36"/>
      <c r="G190" s="75"/>
      <c r="H190" s="75"/>
      <c r="I190" s="36"/>
      <c r="J190" s="75"/>
      <c r="K190" s="75"/>
      <c r="L190" s="36"/>
      <c r="M190" s="75"/>
      <c r="N190" s="75"/>
      <c r="O190" s="75"/>
      <c r="P190" s="75"/>
      <c r="Q190" s="75"/>
      <c r="R190" s="7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75"/>
      <c r="E191" s="75"/>
      <c r="F191" s="36"/>
      <c r="G191" s="75"/>
      <c r="H191" s="75"/>
      <c r="I191" s="36"/>
      <c r="J191" s="75"/>
      <c r="K191" s="75"/>
      <c r="L191" s="36"/>
      <c r="M191" s="75"/>
      <c r="N191" s="75"/>
      <c r="O191" s="75"/>
      <c r="P191" s="75"/>
      <c r="Q191" s="75"/>
      <c r="R191" s="7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75"/>
      <c r="E192" s="75"/>
      <c r="F192" s="36"/>
      <c r="G192" s="75"/>
      <c r="H192" s="75"/>
      <c r="I192" s="36"/>
      <c r="J192" s="75"/>
      <c r="K192" s="75"/>
      <c r="L192" s="36"/>
      <c r="M192" s="75"/>
      <c r="N192" s="75"/>
      <c r="O192" s="75"/>
      <c r="P192" s="75"/>
      <c r="Q192" s="75"/>
      <c r="R192" s="7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75"/>
      <c r="E193" s="75"/>
      <c r="F193" s="36"/>
      <c r="G193" s="75"/>
      <c r="H193" s="75"/>
      <c r="I193" s="36"/>
      <c r="J193" s="75"/>
      <c r="K193" s="75"/>
      <c r="L193" s="36"/>
      <c r="M193" s="75"/>
      <c r="N193" s="75"/>
      <c r="O193" s="75"/>
      <c r="P193" s="75"/>
      <c r="Q193" s="75"/>
      <c r="R193" s="7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75"/>
      <c r="E194" s="75"/>
      <c r="F194" s="36"/>
      <c r="G194" s="75"/>
      <c r="H194" s="75"/>
      <c r="I194" s="36"/>
      <c r="J194" s="75"/>
      <c r="K194" s="75"/>
      <c r="L194" s="36"/>
      <c r="M194" s="75"/>
      <c r="N194" s="75"/>
      <c r="O194" s="75"/>
      <c r="P194" s="75"/>
      <c r="Q194" s="75"/>
      <c r="R194" s="7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75"/>
      <c r="E195" s="75"/>
      <c r="F195" s="36"/>
      <c r="G195" s="75"/>
      <c r="H195" s="75"/>
      <c r="I195" s="36"/>
      <c r="J195" s="75"/>
      <c r="K195" s="75"/>
      <c r="L195" s="36"/>
      <c r="M195" s="75"/>
      <c r="N195" s="75"/>
      <c r="O195" s="75"/>
      <c r="P195" s="75"/>
      <c r="Q195" s="75"/>
      <c r="R195" s="7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75"/>
      <c r="E196" s="75"/>
      <c r="F196" s="36"/>
      <c r="G196" s="75"/>
      <c r="H196" s="75"/>
      <c r="I196" s="36"/>
      <c r="J196" s="75"/>
      <c r="K196" s="75"/>
      <c r="L196" s="36"/>
      <c r="M196" s="75"/>
      <c r="N196" s="75"/>
      <c r="O196" s="75"/>
      <c r="P196" s="75"/>
      <c r="Q196" s="75"/>
      <c r="R196" s="7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75"/>
      <c r="E197" s="75"/>
      <c r="F197" s="36"/>
      <c r="G197" s="75"/>
      <c r="H197" s="75"/>
      <c r="I197" s="36"/>
      <c r="J197" s="75"/>
      <c r="K197" s="75"/>
      <c r="L197" s="36"/>
      <c r="M197" s="75"/>
      <c r="N197" s="75"/>
      <c r="O197" s="75"/>
      <c r="P197" s="75"/>
      <c r="Q197" s="75"/>
      <c r="R197" s="7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75"/>
      <c r="E198" s="75"/>
      <c r="F198" s="36"/>
      <c r="G198" s="75"/>
      <c r="H198" s="75"/>
      <c r="I198" s="36"/>
      <c r="J198" s="75"/>
      <c r="K198" s="75"/>
      <c r="L198" s="36"/>
      <c r="M198" s="75"/>
      <c r="N198" s="75"/>
      <c r="O198" s="75"/>
      <c r="P198" s="75"/>
      <c r="Q198" s="75"/>
      <c r="R198" s="7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75"/>
      <c r="E199" s="75"/>
      <c r="F199" s="36"/>
      <c r="G199" s="75"/>
      <c r="H199" s="75"/>
      <c r="I199" s="36"/>
      <c r="J199" s="75"/>
      <c r="K199" s="75"/>
      <c r="L199" s="36"/>
      <c r="M199" s="75"/>
      <c r="N199" s="75"/>
      <c r="O199" s="75"/>
      <c r="P199" s="75"/>
      <c r="Q199" s="75"/>
      <c r="R199" s="7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75"/>
      <c r="E200" s="75"/>
      <c r="F200" s="36"/>
      <c r="G200" s="75"/>
      <c r="H200" s="75"/>
      <c r="I200" s="36"/>
      <c r="J200" s="75"/>
      <c r="K200" s="75"/>
      <c r="L200" s="36"/>
      <c r="M200" s="75"/>
      <c r="N200" s="75"/>
      <c r="O200" s="75"/>
      <c r="P200" s="75"/>
      <c r="Q200" s="75"/>
      <c r="R200" s="7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75"/>
      <c r="E201" s="75"/>
      <c r="F201" s="36"/>
      <c r="G201" s="75"/>
      <c r="H201" s="75"/>
      <c r="I201" s="36"/>
      <c r="J201" s="75"/>
      <c r="K201" s="75"/>
      <c r="L201" s="36"/>
      <c r="M201" s="75"/>
      <c r="N201" s="75"/>
      <c r="O201" s="75"/>
      <c r="P201" s="75"/>
      <c r="Q201" s="75"/>
      <c r="R201" s="7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75"/>
      <c r="E202" s="75"/>
      <c r="F202" s="36"/>
      <c r="G202" s="75"/>
      <c r="H202" s="75"/>
      <c r="I202" s="36"/>
      <c r="J202" s="75"/>
      <c r="K202" s="75"/>
      <c r="L202" s="36"/>
      <c r="M202" s="75"/>
      <c r="N202" s="75"/>
      <c r="O202" s="75"/>
      <c r="P202" s="75"/>
      <c r="Q202" s="75"/>
      <c r="R202" s="7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75"/>
      <c r="E203" s="75"/>
      <c r="F203" s="36"/>
      <c r="G203" s="75"/>
      <c r="H203" s="75"/>
      <c r="I203" s="36"/>
      <c r="J203" s="75"/>
      <c r="K203" s="75"/>
      <c r="L203" s="36"/>
      <c r="M203" s="75"/>
      <c r="N203" s="75"/>
      <c r="O203" s="75"/>
      <c r="P203" s="75"/>
      <c r="Q203" s="75"/>
      <c r="R203" s="7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75"/>
      <c r="E204" s="75"/>
      <c r="F204" s="36"/>
      <c r="G204" s="75"/>
      <c r="H204" s="75"/>
      <c r="I204" s="36"/>
      <c r="J204" s="75"/>
      <c r="K204" s="75"/>
      <c r="L204" s="36"/>
      <c r="M204" s="75"/>
      <c r="N204" s="75"/>
      <c r="O204" s="75"/>
      <c r="P204" s="75"/>
      <c r="Q204" s="75"/>
      <c r="R204" s="7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75"/>
      <c r="E205" s="75"/>
      <c r="F205" s="36"/>
      <c r="G205" s="75"/>
      <c r="H205" s="75"/>
      <c r="I205" s="36"/>
      <c r="J205" s="75"/>
      <c r="K205" s="75"/>
      <c r="L205" s="36"/>
      <c r="M205" s="75"/>
      <c r="N205" s="75"/>
      <c r="O205" s="75"/>
      <c r="P205" s="75"/>
      <c r="Q205" s="75"/>
      <c r="R205" s="7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75"/>
      <c r="E206" s="75"/>
      <c r="F206" s="36"/>
      <c r="G206" s="75"/>
      <c r="H206" s="75"/>
      <c r="I206" s="36"/>
      <c r="J206" s="75"/>
      <c r="K206" s="75"/>
      <c r="L206" s="36"/>
      <c r="M206" s="75"/>
      <c r="N206" s="75"/>
      <c r="O206" s="75"/>
      <c r="P206" s="75"/>
      <c r="Q206" s="75"/>
      <c r="R206" s="7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75"/>
      <c r="E207" s="75"/>
      <c r="F207" s="36"/>
      <c r="G207" s="75"/>
      <c r="H207" s="75"/>
      <c r="I207" s="36"/>
      <c r="J207" s="75"/>
      <c r="K207" s="75"/>
      <c r="L207" s="36"/>
      <c r="M207" s="75"/>
      <c r="N207" s="75"/>
      <c r="O207" s="75"/>
      <c r="P207" s="75"/>
      <c r="Q207" s="75"/>
      <c r="R207" s="7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75"/>
      <c r="E208" s="75"/>
      <c r="F208" s="36"/>
      <c r="G208" s="75"/>
      <c r="H208" s="75"/>
      <c r="I208" s="36"/>
      <c r="J208" s="75"/>
      <c r="K208" s="75"/>
      <c r="L208" s="36"/>
      <c r="M208" s="75"/>
      <c r="N208" s="75"/>
      <c r="O208" s="75"/>
      <c r="P208" s="75"/>
      <c r="Q208" s="75"/>
      <c r="R208" s="7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75"/>
      <c r="E209" s="75"/>
      <c r="F209" s="36"/>
      <c r="G209" s="75"/>
      <c r="H209" s="75"/>
      <c r="I209" s="36"/>
      <c r="J209" s="75"/>
      <c r="K209" s="75"/>
      <c r="L209" s="36"/>
      <c r="M209" s="75"/>
      <c r="N209" s="75"/>
      <c r="O209" s="75"/>
      <c r="P209" s="75"/>
      <c r="Q209" s="75"/>
      <c r="R209" s="7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75"/>
      <c r="E210" s="75"/>
      <c r="F210" s="36"/>
      <c r="G210" s="75"/>
      <c r="H210" s="75"/>
      <c r="I210" s="36"/>
      <c r="J210" s="75"/>
      <c r="K210" s="75"/>
      <c r="L210" s="36"/>
      <c r="M210" s="75"/>
      <c r="N210" s="75"/>
      <c r="O210" s="75"/>
      <c r="P210" s="75"/>
      <c r="Q210" s="75"/>
      <c r="R210" s="7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75"/>
      <c r="E211" s="75"/>
      <c r="F211" s="36"/>
      <c r="G211" s="75"/>
      <c r="H211" s="75"/>
      <c r="I211" s="36"/>
      <c r="J211" s="75"/>
      <c r="K211" s="75"/>
      <c r="L211" s="36"/>
      <c r="M211" s="75"/>
      <c r="N211" s="75"/>
      <c r="O211" s="75"/>
      <c r="P211" s="75"/>
      <c r="Q211" s="75"/>
      <c r="R211" s="7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75"/>
      <c r="E212" s="75"/>
      <c r="F212" s="36"/>
      <c r="G212" s="75"/>
      <c r="H212" s="75"/>
      <c r="I212" s="36"/>
      <c r="J212" s="75"/>
      <c r="K212" s="75"/>
      <c r="L212" s="36"/>
      <c r="M212" s="75"/>
      <c r="N212" s="75"/>
      <c r="O212" s="75"/>
      <c r="P212" s="75"/>
      <c r="Q212" s="75"/>
      <c r="R212" s="7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75"/>
      <c r="E213" s="75"/>
      <c r="F213" s="36"/>
      <c r="G213" s="75"/>
      <c r="H213" s="75"/>
      <c r="I213" s="36"/>
      <c r="J213" s="75"/>
      <c r="K213" s="75"/>
      <c r="L213" s="36"/>
      <c r="M213" s="75"/>
      <c r="N213" s="75"/>
      <c r="O213" s="75"/>
      <c r="P213" s="75"/>
      <c r="Q213" s="75"/>
      <c r="R213" s="7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75"/>
      <c r="E214" s="75"/>
      <c r="F214" s="36"/>
      <c r="G214" s="75"/>
      <c r="H214" s="75"/>
      <c r="I214" s="36"/>
      <c r="J214" s="75"/>
      <c r="K214" s="75"/>
      <c r="L214" s="36"/>
      <c r="M214" s="75"/>
      <c r="N214" s="75"/>
      <c r="O214" s="75"/>
      <c r="P214" s="75"/>
      <c r="Q214" s="75"/>
      <c r="R214" s="7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75"/>
      <c r="E215" s="75"/>
      <c r="F215" s="36"/>
      <c r="G215" s="75"/>
      <c r="H215" s="75"/>
      <c r="I215" s="36"/>
      <c r="J215" s="75"/>
      <c r="K215" s="75"/>
      <c r="L215" s="36"/>
      <c r="M215" s="75"/>
      <c r="N215" s="75"/>
      <c r="O215" s="75"/>
      <c r="P215" s="75"/>
      <c r="Q215" s="75"/>
      <c r="R215" s="7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75"/>
      <c r="E216" s="75"/>
      <c r="F216" s="36"/>
      <c r="G216" s="75"/>
      <c r="H216" s="75"/>
      <c r="I216" s="36"/>
      <c r="J216" s="75"/>
      <c r="K216" s="75"/>
      <c r="L216" s="36"/>
      <c r="M216" s="75"/>
      <c r="N216" s="75"/>
      <c r="O216" s="75"/>
      <c r="P216" s="75"/>
      <c r="Q216" s="75"/>
      <c r="R216" s="7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75"/>
      <c r="E217" s="75"/>
      <c r="F217" s="36"/>
      <c r="G217" s="75"/>
      <c r="H217" s="75"/>
      <c r="I217" s="36"/>
      <c r="J217" s="75"/>
      <c r="K217" s="75"/>
      <c r="L217" s="36"/>
      <c r="M217" s="75"/>
      <c r="N217" s="75"/>
      <c r="O217" s="75"/>
      <c r="P217" s="75"/>
      <c r="Q217" s="75"/>
      <c r="R217" s="7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75"/>
      <c r="E218" s="75"/>
      <c r="F218" s="36"/>
      <c r="G218" s="75"/>
      <c r="H218" s="75"/>
      <c r="I218" s="36"/>
      <c r="J218" s="75"/>
      <c r="K218" s="75"/>
      <c r="L218" s="36"/>
      <c r="M218" s="75"/>
      <c r="N218" s="75"/>
      <c r="O218" s="75"/>
      <c r="P218" s="75"/>
      <c r="Q218" s="75"/>
      <c r="R218" s="7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75"/>
      <c r="E219" s="75"/>
      <c r="F219" s="36"/>
      <c r="G219" s="75"/>
      <c r="H219" s="75"/>
      <c r="I219" s="36"/>
      <c r="J219" s="75"/>
      <c r="K219" s="75"/>
      <c r="L219" s="36"/>
      <c r="M219" s="75"/>
      <c r="N219" s="75"/>
      <c r="O219" s="75"/>
      <c r="P219" s="75"/>
      <c r="Q219" s="75"/>
      <c r="R219" s="7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75"/>
      <c r="E220" s="75"/>
      <c r="F220" s="36"/>
      <c r="G220" s="75"/>
      <c r="H220" s="75"/>
      <c r="I220" s="36"/>
      <c r="J220" s="75"/>
      <c r="K220" s="75"/>
      <c r="L220" s="36"/>
      <c r="M220" s="75"/>
      <c r="N220" s="75"/>
      <c r="O220" s="75"/>
      <c r="P220" s="75"/>
      <c r="Q220" s="75"/>
      <c r="R220" s="7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75"/>
      <c r="E221" s="75"/>
      <c r="F221" s="36"/>
      <c r="G221" s="75"/>
      <c r="H221" s="75"/>
      <c r="I221" s="36"/>
      <c r="J221" s="75"/>
      <c r="K221" s="75"/>
      <c r="L221" s="36"/>
      <c r="M221" s="75"/>
      <c r="N221" s="75"/>
      <c r="O221" s="75"/>
      <c r="P221" s="75"/>
      <c r="Q221" s="75"/>
      <c r="R221" s="76"/>
      <c r="T221" s="36"/>
      <c r="U221" s="36"/>
      <c r="V221" s="36"/>
      <c r="W221" s="36"/>
      <c r="X221" s="36"/>
      <c r="Y221" s="36"/>
      <c r="Z221" s="3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2:K21"/>
    <mergeCell ref="L2:N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43"/>
    <col customWidth="1" min="2" max="2" width="20.57"/>
    <col customWidth="1" min="3" max="3" width="14.29"/>
    <col customWidth="1" min="4" max="4" width="5.86"/>
    <col customWidth="1" min="5" max="5" width="11.43"/>
    <col customWidth="1" min="6" max="6" width="22.29"/>
    <col customWidth="1" min="7" max="7" width="10.86"/>
    <col customWidth="1" min="8" max="8" width="15.29"/>
    <col customWidth="1" min="9" max="9" width="14.0"/>
    <col customWidth="1" min="10" max="10" width="128.29"/>
    <col customWidth="1" min="11" max="11" width="15.14"/>
    <col customWidth="1" min="12" max="12" width="28.71"/>
    <col customWidth="1" min="13" max="13" width="22.71"/>
    <col customWidth="1" min="14" max="14" width="31.71"/>
    <col customWidth="1" min="15" max="15" width="50.14"/>
    <col customWidth="1" min="16" max="16" width="26.57"/>
    <col customWidth="1" min="17" max="17" width="11.57"/>
    <col customWidth="1" min="18" max="18" width="10.14"/>
    <col customWidth="1" min="19" max="19" width="8.14"/>
    <col customWidth="1" min="20" max="20" width="10.43"/>
    <col customWidth="1" min="21" max="21" width="6.0"/>
    <col customWidth="1" min="22" max="22" width="12.14"/>
    <col customWidth="1" min="23" max="23" width="6.29"/>
    <col customWidth="1" min="24" max="24" width="12.71"/>
    <col customWidth="1" min="25" max="25" width="6.29"/>
    <col customWidth="1" min="26" max="26" width="5.43"/>
    <col customWidth="1" min="27" max="27" width="6.29"/>
    <col customWidth="1" min="28" max="28" width="5.43"/>
    <col customWidth="1" min="29" max="29" width="6.29"/>
    <col customWidth="1" min="30" max="30" width="5.43"/>
    <col customWidth="1" min="31" max="31" width="6.29"/>
    <col customWidth="1" min="32" max="32" width="5.43"/>
    <col customWidth="1" min="33" max="33" width="6.29"/>
    <col customWidth="1" min="34" max="34" width="5.43"/>
    <col customWidth="1" min="35" max="35" width="6.29"/>
    <col customWidth="1" min="36" max="36" width="5.43"/>
    <col customWidth="1" min="37" max="37" width="6.29"/>
    <col customWidth="1" min="38" max="38" width="5.43"/>
    <col customWidth="1" min="39" max="39" width="6.29"/>
    <col customWidth="1" min="40" max="40" width="5.43"/>
    <col customWidth="1" min="41" max="41" width="6.29"/>
    <col customWidth="1" min="42" max="42" width="17.71"/>
    <col customWidth="1" min="43" max="45" width="14.71"/>
    <col customWidth="1" min="46" max="46" width="19.57"/>
    <col customWidth="1" min="47" max="47" width="58.29"/>
    <col customWidth="1" min="48" max="48" width="23.43"/>
    <col customWidth="1" min="49" max="49" width="39.0"/>
    <col customWidth="1" min="50" max="50" width="16.86"/>
    <col customWidth="1" min="51" max="51" width="17.43"/>
    <col customWidth="1" min="52" max="53" width="14.14"/>
  </cols>
  <sheetData>
    <row r="1" ht="30.75" customHeight="1">
      <c r="A1" s="77"/>
      <c r="B1" s="77"/>
      <c r="C1" s="77"/>
      <c r="D1" s="77" t="s">
        <v>39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8" t="s">
        <v>40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8" t="s">
        <v>41</v>
      </c>
      <c r="AR1" s="79"/>
      <c r="AS1" s="79"/>
      <c r="AT1" s="79"/>
      <c r="AU1" s="79"/>
      <c r="AV1" s="79"/>
      <c r="AW1" s="79"/>
      <c r="AX1" s="79"/>
      <c r="AY1" s="79"/>
      <c r="AZ1" s="80"/>
      <c r="BA1" s="80"/>
    </row>
    <row r="2" ht="38.25" customHeight="1">
      <c r="A2" s="81" t="s">
        <v>42</v>
      </c>
      <c r="B2" s="82" t="s">
        <v>43</v>
      </c>
      <c r="C2" s="83" t="s">
        <v>44</v>
      </c>
      <c r="D2" s="83" t="s">
        <v>45</v>
      </c>
      <c r="E2" s="84" t="s">
        <v>46</v>
      </c>
      <c r="F2" s="84" t="s">
        <v>47</v>
      </c>
      <c r="G2" s="83" t="s">
        <v>48</v>
      </c>
      <c r="H2" s="83" t="s">
        <v>49</v>
      </c>
      <c r="I2" s="85" t="s">
        <v>50</v>
      </c>
      <c r="J2" s="83" t="s">
        <v>51</v>
      </c>
      <c r="K2" s="84" t="s">
        <v>52</v>
      </c>
      <c r="L2" s="84" t="s">
        <v>53</v>
      </c>
      <c r="M2" s="84" t="s">
        <v>54</v>
      </c>
      <c r="N2" s="84" t="s">
        <v>55</v>
      </c>
      <c r="O2" s="83" t="s">
        <v>56</v>
      </c>
      <c r="P2" s="86" t="s">
        <v>57</v>
      </c>
      <c r="Q2" s="87"/>
      <c r="R2" s="86" t="s">
        <v>58</v>
      </c>
      <c r="S2" s="87"/>
      <c r="T2" s="86" t="s">
        <v>59</v>
      </c>
      <c r="U2" s="87"/>
      <c r="V2" s="86" t="s">
        <v>60</v>
      </c>
      <c r="W2" s="87"/>
      <c r="X2" s="86" t="s">
        <v>61</v>
      </c>
      <c r="Y2" s="87"/>
      <c r="Z2" s="86" t="s">
        <v>62</v>
      </c>
      <c r="AA2" s="87"/>
      <c r="AB2" s="86" t="s">
        <v>63</v>
      </c>
      <c r="AC2" s="87"/>
      <c r="AD2" s="86" t="s">
        <v>64</v>
      </c>
      <c r="AE2" s="87"/>
      <c r="AF2" s="86" t="s">
        <v>65</v>
      </c>
      <c r="AG2" s="87"/>
      <c r="AH2" s="86" t="s">
        <v>66</v>
      </c>
      <c r="AI2" s="87"/>
      <c r="AJ2" s="86" t="s">
        <v>67</v>
      </c>
      <c r="AK2" s="87"/>
      <c r="AL2" s="86" t="s">
        <v>68</v>
      </c>
      <c r="AM2" s="87"/>
      <c r="AN2" s="86" t="s">
        <v>69</v>
      </c>
      <c r="AO2" s="87"/>
      <c r="AP2" s="83" t="s">
        <v>70</v>
      </c>
      <c r="AQ2" s="83" t="s">
        <v>71</v>
      </c>
      <c r="AR2" s="83" t="s">
        <v>72</v>
      </c>
      <c r="AS2" s="83" t="s">
        <v>73</v>
      </c>
      <c r="AT2" s="83" t="s">
        <v>74</v>
      </c>
      <c r="AU2" s="83" t="s">
        <v>75</v>
      </c>
      <c r="AV2" s="83" t="s">
        <v>76</v>
      </c>
      <c r="AW2" s="83" t="s">
        <v>77</v>
      </c>
      <c r="AX2" s="83" t="s">
        <v>78</v>
      </c>
      <c r="AY2" s="83" t="s">
        <v>70</v>
      </c>
      <c r="AZ2" s="81" t="s">
        <v>79</v>
      </c>
      <c r="BA2" s="81" t="s">
        <v>80</v>
      </c>
    </row>
    <row r="3" ht="30.75" customHeight="1">
      <c r="A3" s="88" t="s">
        <v>81</v>
      </c>
      <c r="B3" s="89" t="s">
        <v>82</v>
      </c>
      <c r="C3" s="89" t="s">
        <v>83</v>
      </c>
      <c r="D3" s="89">
        <v>1.0</v>
      </c>
      <c r="E3" s="88" t="s">
        <v>84</v>
      </c>
      <c r="F3" s="88" t="s">
        <v>85</v>
      </c>
      <c r="G3" s="88" t="s">
        <v>86</v>
      </c>
      <c r="H3" s="88" t="s">
        <v>87</v>
      </c>
      <c r="I3" s="88" t="s">
        <v>88</v>
      </c>
      <c r="J3" s="88" t="s">
        <v>89</v>
      </c>
      <c r="K3" s="88" t="s">
        <v>90</v>
      </c>
      <c r="L3" s="88" t="s">
        <v>91</v>
      </c>
      <c r="M3" s="88" t="s">
        <v>92</v>
      </c>
      <c r="N3" s="88" t="s">
        <v>93</v>
      </c>
      <c r="O3" s="88" t="s">
        <v>94</v>
      </c>
      <c r="P3" s="90">
        <v>12.0</v>
      </c>
      <c r="Q3" s="90">
        <v>1.0</v>
      </c>
      <c r="R3" s="90"/>
      <c r="S3" s="90"/>
      <c r="T3" s="90"/>
      <c r="U3" s="90"/>
      <c r="V3" s="90"/>
      <c r="W3" s="90"/>
      <c r="X3" s="90"/>
      <c r="Y3" s="90"/>
      <c r="Z3" s="90"/>
      <c r="AA3" s="90"/>
      <c r="AB3" s="90">
        <v>1.0</v>
      </c>
      <c r="AC3" s="90">
        <v>1.0</v>
      </c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88">
        <v>0.0</v>
      </c>
      <c r="AQ3" s="91" t="s">
        <v>95</v>
      </c>
      <c r="AR3" s="91" t="s">
        <v>95</v>
      </c>
      <c r="AS3" s="91" t="s">
        <v>96</v>
      </c>
      <c r="AT3" s="92" t="s">
        <v>97</v>
      </c>
      <c r="AU3" s="88" t="s">
        <v>98</v>
      </c>
      <c r="AV3" s="88" t="s">
        <v>98</v>
      </c>
      <c r="AW3" s="88" t="s">
        <v>98</v>
      </c>
      <c r="AX3" s="91" t="s">
        <v>99</v>
      </c>
      <c r="AY3" s="88" t="str">
        <f t="shared" ref="AY3:AY8" si="1">#REF!</f>
        <v>#REF!</v>
      </c>
      <c r="AZ3" s="91">
        <f t="shared" ref="AZ3:AZ4" si="2">TODAY()</f>
        <v>46171</v>
      </c>
      <c r="BA3" s="91"/>
    </row>
    <row r="4" ht="30.75" customHeight="1">
      <c r="A4" s="93" t="s">
        <v>81</v>
      </c>
      <c r="B4" s="94" t="s">
        <v>82</v>
      </c>
      <c r="C4" s="94" t="s">
        <v>83</v>
      </c>
      <c r="D4" s="93">
        <v>2.0</v>
      </c>
      <c r="E4" s="93" t="s">
        <v>84</v>
      </c>
      <c r="F4" s="93" t="s">
        <v>100</v>
      </c>
      <c r="G4" s="93" t="s">
        <v>86</v>
      </c>
      <c r="H4" s="93" t="s">
        <v>101</v>
      </c>
      <c r="I4" s="93" t="s">
        <v>88</v>
      </c>
      <c r="J4" s="93" t="s">
        <v>102</v>
      </c>
      <c r="K4" s="93" t="s">
        <v>90</v>
      </c>
      <c r="L4" s="93" t="s">
        <v>103</v>
      </c>
      <c r="M4" s="93" t="s">
        <v>104</v>
      </c>
      <c r="N4" s="93" t="s">
        <v>93</v>
      </c>
      <c r="O4" s="93" t="s">
        <v>94</v>
      </c>
      <c r="P4" s="93">
        <v>12.0</v>
      </c>
      <c r="Q4" s="93">
        <v>1.0</v>
      </c>
      <c r="R4" s="93"/>
      <c r="S4" s="93"/>
      <c r="T4" s="93"/>
      <c r="U4" s="93"/>
      <c r="V4" s="93"/>
      <c r="W4" s="93"/>
      <c r="X4" s="93"/>
      <c r="Y4" s="93"/>
      <c r="Z4" s="93"/>
      <c r="AA4" s="93"/>
      <c r="AB4" s="93">
        <v>1.0</v>
      </c>
      <c r="AC4" s="93">
        <v>1.0</v>
      </c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>
        <v>0.0</v>
      </c>
      <c r="AQ4" s="95" t="s">
        <v>95</v>
      </c>
      <c r="AR4" s="95" t="s">
        <v>95</v>
      </c>
      <c r="AS4" s="95" t="s">
        <v>96</v>
      </c>
      <c r="AT4" s="96" t="s">
        <v>105</v>
      </c>
      <c r="AU4" s="93" t="s">
        <v>98</v>
      </c>
      <c r="AV4" s="93" t="s">
        <v>98</v>
      </c>
      <c r="AW4" s="93" t="s">
        <v>98</v>
      </c>
      <c r="AX4" s="95" t="s">
        <v>99</v>
      </c>
      <c r="AY4" s="93" t="str">
        <f t="shared" si="1"/>
        <v>#REF!</v>
      </c>
      <c r="AZ4" s="95">
        <f t="shared" si="2"/>
        <v>46171</v>
      </c>
      <c r="BA4" s="95"/>
    </row>
    <row r="5" ht="30.75" customHeight="1">
      <c r="A5" s="97" t="s">
        <v>106</v>
      </c>
      <c r="B5" s="98" t="s">
        <v>107</v>
      </c>
      <c r="C5" s="99" t="s">
        <v>83</v>
      </c>
      <c r="D5" s="97">
        <v>68.0</v>
      </c>
      <c r="E5" s="100" t="s">
        <v>108</v>
      </c>
      <c r="F5" s="97" t="s">
        <v>98</v>
      </c>
      <c r="G5" s="97" t="s">
        <v>86</v>
      </c>
      <c r="H5" s="97" t="s">
        <v>98</v>
      </c>
      <c r="I5" s="97" t="s">
        <v>88</v>
      </c>
      <c r="J5" s="97" t="s">
        <v>109</v>
      </c>
      <c r="K5" s="97" t="s">
        <v>110</v>
      </c>
      <c r="L5" s="97" t="s">
        <v>111</v>
      </c>
      <c r="M5" s="97" t="s">
        <v>112</v>
      </c>
      <c r="N5" s="97"/>
      <c r="O5" s="97"/>
      <c r="P5" s="100"/>
      <c r="Q5" s="100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 t="str">
        <f>#REF!</f>
        <v>#REF!</v>
      </c>
      <c r="AQ5" s="97" t="s">
        <v>98</v>
      </c>
      <c r="AR5" s="97" t="s">
        <v>98</v>
      </c>
      <c r="AS5" s="101" t="str">
        <f>DATE(YEAR(AQ5),MONTH(AQ5)+P5,DAY(AQ5))</f>
        <v>#VALUE!</v>
      </c>
      <c r="AT5" s="97" t="s">
        <v>98</v>
      </c>
      <c r="AU5" s="97" t="s">
        <v>98</v>
      </c>
      <c r="AV5" s="97" t="s">
        <v>98</v>
      </c>
      <c r="AW5" s="97" t="s">
        <v>98</v>
      </c>
      <c r="AX5" s="97" t="s">
        <v>113</v>
      </c>
      <c r="AY5" s="97" t="str">
        <f t="shared" si="1"/>
        <v>#REF!</v>
      </c>
      <c r="AZ5" s="101"/>
      <c r="BA5" s="101"/>
    </row>
    <row r="6" ht="30.75" customHeight="1">
      <c r="A6" s="93" t="s">
        <v>114</v>
      </c>
      <c r="B6" s="94" t="s">
        <v>107</v>
      </c>
      <c r="C6" s="93" t="s">
        <v>115</v>
      </c>
      <c r="D6" s="93">
        <v>1.0</v>
      </c>
      <c r="E6" s="93" t="s">
        <v>116</v>
      </c>
      <c r="F6" s="93" t="s">
        <v>98</v>
      </c>
      <c r="G6" s="93" t="s">
        <v>86</v>
      </c>
      <c r="H6" s="93" t="s">
        <v>117</v>
      </c>
      <c r="I6" s="93" t="s">
        <v>118</v>
      </c>
      <c r="J6" s="93" t="s">
        <v>119</v>
      </c>
      <c r="K6" s="93" t="s">
        <v>120</v>
      </c>
      <c r="L6" s="93" t="s">
        <v>121</v>
      </c>
      <c r="M6" s="102" t="s">
        <v>122</v>
      </c>
      <c r="N6" s="93" t="s">
        <v>123</v>
      </c>
      <c r="O6" s="93" t="s">
        <v>124</v>
      </c>
      <c r="P6" s="93">
        <v>4.0</v>
      </c>
      <c r="Q6" s="93" t="s">
        <v>98</v>
      </c>
      <c r="R6" s="93"/>
      <c r="S6" s="93"/>
      <c r="T6" s="93">
        <v>1.0</v>
      </c>
      <c r="U6" s="93" t="s">
        <v>98</v>
      </c>
      <c r="V6" s="93"/>
      <c r="W6" s="93"/>
      <c r="X6" s="93"/>
      <c r="Y6" s="93"/>
      <c r="Z6" s="93">
        <v>1.0</v>
      </c>
      <c r="AA6" s="93" t="s">
        <v>98</v>
      </c>
      <c r="AB6" s="93"/>
      <c r="AC6" s="93"/>
      <c r="AD6" s="93"/>
      <c r="AE6" s="93"/>
      <c r="AF6" s="93">
        <v>1.0</v>
      </c>
      <c r="AG6" s="93" t="s">
        <v>98</v>
      </c>
      <c r="AH6" s="93"/>
      <c r="AI6" s="93"/>
      <c r="AJ6" s="93"/>
      <c r="AK6" s="93"/>
      <c r="AL6" s="93">
        <v>1.0</v>
      </c>
      <c r="AM6" s="93" t="s">
        <v>98</v>
      </c>
      <c r="AN6" s="93"/>
      <c r="AO6" s="93"/>
      <c r="AP6" s="93"/>
      <c r="AQ6" s="93" t="s">
        <v>125</v>
      </c>
      <c r="AR6" s="93" t="s">
        <v>125</v>
      </c>
      <c r="AS6" s="95" t="str">
        <f t="shared" ref="AS6:AS8" si="3">DATE(YEAR(AQ6),MONTH(AQ6)+Q6,DAY(AQ6))</f>
        <v>#VALUE!</v>
      </c>
      <c r="AT6" s="93" t="s">
        <v>98</v>
      </c>
      <c r="AU6" s="103"/>
      <c r="AV6" s="93" t="s">
        <v>98</v>
      </c>
      <c r="AW6" s="103"/>
      <c r="AX6" s="93" t="s">
        <v>99</v>
      </c>
      <c r="AY6" s="93" t="str">
        <f t="shared" si="1"/>
        <v>#REF!</v>
      </c>
      <c r="AZ6" s="95">
        <f t="shared" ref="AZ6:AZ8" si="4">TODAY()</f>
        <v>46171</v>
      </c>
      <c r="BA6" s="93"/>
    </row>
    <row r="7" ht="30.75" customHeight="1">
      <c r="A7" s="93" t="s">
        <v>106</v>
      </c>
      <c r="B7" s="94" t="s">
        <v>107</v>
      </c>
      <c r="C7" s="94"/>
      <c r="D7" s="94"/>
      <c r="E7" s="93" t="s">
        <v>116</v>
      </c>
      <c r="F7" s="93" t="s">
        <v>98</v>
      </c>
      <c r="G7" s="93" t="s">
        <v>86</v>
      </c>
      <c r="H7" s="93" t="s">
        <v>98</v>
      </c>
      <c r="I7" s="93"/>
      <c r="J7" s="93" t="s">
        <v>126</v>
      </c>
      <c r="K7" s="93" t="s">
        <v>127</v>
      </c>
      <c r="L7" s="93" t="s">
        <v>128</v>
      </c>
      <c r="M7" s="102" t="s">
        <v>129</v>
      </c>
      <c r="N7" s="93" t="s">
        <v>123</v>
      </c>
      <c r="O7" s="93" t="s">
        <v>124</v>
      </c>
      <c r="P7" s="104">
        <v>12.0</v>
      </c>
      <c r="Q7" s="93" t="s">
        <v>98</v>
      </c>
      <c r="R7" s="104">
        <v>1.0</v>
      </c>
      <c r="S7" s="93" t="s">
        <v>98</v>
      </c>
      <c r="T7" s="104">
        <v>1.0</v>
      </c>
      <c r="U7" s="93" t="s">
        <v>98</v>
      </c>
      <c r="V7" s="104">
        <v>1.0</v>
      </c>
      <c r="W7" s="93" t="s">
        <v>98</v>
      </c>
      <c r="X7" s="104">
        <v>1.0</v>
      </c>
      <c r="Y7" s="93" t="s">
        <v>98</v>
      </c>
      <c r="Z7" s="104">
        <v>1.0</v>
      </c>
      <c r="AA7" s="93" t="s">
        <v>98</v>
      </c>
      <c r="AB7" s="104">
        <v>1.0</v>
      </c>
      <c r="AC7" s="93" t="s">
        <v>98</v>
      </c>
      <c r="AD7" s="104">
        <v>1.0</v>
      </c>
      <c r="AE7" s="93" t="s">
        <v>98</v>
      </c>
      <c r="AF7" s="104">
        <v>1.0</v>
      </c>
      <c r="AG7" s="93" t="s">
        <v>98</v>
      </c>
      <c r="AH7" s="104">
        <v>1.0</v>
      </c>
      <c r="AI7" s="93" t="s">
        <v>98</v>
      </c>
      <c r="AJ7" s="104">
        <v>1.0</v>
      </c>
      <c r="AK7" s="93" t="s">
        <v>98</v>
      </c>
      <c r="AL7" s="104">
        <v>1.0</v>
      </c>
      <c r="AM7" s="93" t="s">
        <v>98</v>
      </c>
      <c r="AN7" s="104">
        <v>1.0</v>
      </c>
      <c r="AO7" s="93" t="s">
        <v>98</v>
      </c>
      <c r="AP7" s="103"/>
      <c r="AQ7" s="95" t="s">
        <v>125</v>
      </c>
      <c r="AR7" s="95" t="s">
        <v>125</v>
      </c>
      <c r="AS7" s="105" t="str">
        <f t="shared" si="3"/>
        <v>#VALUE!</v>
      </c>
      <c r="AT7" s="96" t="s">
        <v>98</v>
      </c>
      <c r="AU7" s="103"/>
      <c r="AV7" s="93" t="s">
        <v>98</v>
      </c>
      <c r="AW7" s="103"/>
      <c r="AX7" s="95" t="s">
        <v>99</v>
      </c>
      <c r="AY7" s="103" t="str">
        <f t="shared" si="1"/>
        <v>#REF!</v>
      </c>
      <c r="AZ7" s="106">
        <f t="shared" si="4"/>
        <v>46171</v>
      </c>
      <c r="BA7" s="107"/>
    </row>
    <row r="8" ht="30.75" customHeight="1">
      <c r="A8" s="93" t="s">
        <v>106</v>
      </c>
      <c r="B8" s="94" t="s">
        <v>107</v>
      </c>
      <c r="C8" s="94"/>
      <c r="D8" s="93"/>
      <c r="E8" s="93" t="s">
        <v>116</v>
      </c>
      <c r="F8" s="93" t="s">
        <v>98</v>
      </c>
      <c r="G8" s="93" t="s">
        <v>86</v>
      </c>
      <c r="H8" s="93" t="s">
        <v>98</v>
      </c>
      <c r="I8" s="93"/>
      <c r="J8" s="93" t="s">
        <v>126</v>
      </c>
      <c r="K8" s="93" t="s">
        <v>127</v>
      </c>
      <c r="L8" s="93" t="s">
        <v>128</v>
      </c>
      <c r="M8" s="102" t="s">
        <v>130</v>
      </c>
      <c r="N8" s="93" t="s">
        <v>123</v>
      </c>
      <c r="O8" s="93" t="s">
        <v>124</v>
      </c>
      <c r="P8" s="104">
        <v>12.0</v>
      </c>
      <c r="Q8" s="93" t="s">
        <v>98</v>
      </c>
      <c r="R8" s="104">
        <v>1.0</v>
      </c>
      <c r="S8" s="93" t="s">
        <v>98</v>
      </c>
      <c r="T8" s="104">
        <v>1.0</v>
      </c>
      <c r="U8" s="93" t="s">
        <v>98</v>
      </c>
      <c r="V8" s="104">
        <v>1.0</v>
      </c>
      <c r="W8" s="93" t="s">
        <v>98</v>
      </c>
      <c r="X8" s="104">
        <v>1.0</v>
      </c>
      <c r="Y8" s="93" t="s">
        <v>98</v>
      </c>
      <c r="Z8" s="104">
        <v>1.0</v>
      </c>
      <c r="AA8" s="93" t="s">
        <v>98</v>
      </c>
      <c r="AB8" s="104">
        <v>1.0</v>
      </c>
      <c r="AC8" s="93" t="s">
        <v>98</v>
      </c>
      <c r="AD8" s="104">
        <v>1.0</v>
      </c>
      <c r="AE8" s="93" t="s">
        <v>98</v>
      </c>
      <c r="AF8" s="104">
        <v>1.0</v>
      </c>
      <c r="AG8" s="93" t="s">
        <v>98</v>
      </c>
      <c r="AH8" s="104">
        <v>1.0</v>
      </c>
      <c r="AI8" s="93" t="s">
        <v>98</v>
      </c>
      <c r="AJ8" s="104">
        <v>1.0</v>
      </c>
      <c r="AK8" s="93" t="s">
        <v>98</v>
      </c>
      <c r="AL8" s="104">
        <v>1.0</v>
      </c>
      <c r="AM8" s="93" t="s">
        <v>98</v>
      </c>
      <c r="AN8" s="104">
        <v>1.0</v>
      </c>
      <c r="AO8" s="93" t="s">
        <v>98</v>
      </c>
      <c r="AP8" s="103"/>
      <c r="AQ8" s="95" t="s">
        <v>125</v>
      </c>
      <c r="AR8" s="95" t="s">
        <v>125</v>
      </c>
      <c r="AS8" s="105" t="str">
        <f t="shared" si="3"/>
        <v>#VALUE!</v>
      </c>
      <c r="AT8" s="93" t="s">
        <v>98</v>
      </c>
      <c r="AU8" s="103"/>
      <c r="AV8" s="93" t="s">
        <v>98</v>
      </c>
      <c r="AW8" s="103"/>
      <c r="AX8" s="93" t="s">
        <v>99</v>
      </c>
      <c r="AY8" s="103" t="str">
        <f t="shared" si="1"/>
        <v>#REF!</v>
      </c>
      <c r="AZ8" s="106">
        <f t="shared" si="4"/>
        <v>46171</v>
      </c>
      <c r="BA8" s="107"/>
    </row>
    <row r="9" ht="30.75" customHeight="1">
      <c r="A9" s="93" t="s">
        <v>81</v>
      </c>
      <c r="B9" s="94"/>
      <c r="C9" s="94" t="s">
        <v>83</v>
      </c>
      <c r="D9" s="93">
        <v>1.0</v>
      </c>
      <c r="E9" s="93" t="s">
        <v>131</v>
      </c>
      <c r="F9" s="93" t="s">
        <v>132</v>
      </c>
      <c r="G9" s="93" t="s">
        <v>86</v>
      </c>
      <c r="H9" s="93" t="s">
        <v>133</v>
      </c>
      <c r="I9" s="93" t="s">
        <v>118</v>
      </c>
      <c r="J9" s="93" t="s">
        <v>134</v>
      </c>
      <c r="K9" s="93" t="s">
        <v>135</v>
      </c>
      <c r="L9" s="93" t="s">
        <v>136</v>
      </c>
      <c r="M9" s="93">
        <v>963.0</v>
      </c>
      <c r="N9" s="93" t="s">
        <v>137</v>
      </c>
      <c r="O9" s="93" t="s">
        <v>138</v>
      </c>
      <c r="P9" s="93">
        <v>6.0</v>
      </c>
      <c r="Q9" s="93">
        <v>1.0</v>
      </c>
      <c r="R9" s="93" t="s">
        <v>98</v>
      </c>
      <c r="S9" s="93" t="s">
        <v>98</v>
      </c>
      <c r="T9" s="93" t="s">
        <v>98</v>
      </c>
      <c r="U9" s="93" t="s">
        <v>98</v>
      </c>
      <c r="V9" s="93" t="s">
        <v>98</v>
      </c>
      <c r="W9" s="93" t="s">
        <v>98</v>
      </c>
      <c r="X9" s="93" t="s">
        <v>98</v>
      </c>
      <c r="Y9" s="93" t="s">
        <v>98</v>
      </c>
      <c r="Z9" s="93" t="s">
        <v>98</v>
      </c>
      <c r="AA9" s="93" t="s">
        <v>98</v>
      </c>
      <c r="AB9" s="93" t="s">
        <v>98</v>
      </c>
      <c r="AC9" s="93" t="s">
        <v>98</v>
      </c>
      <c r="AD9" s="93" t="s">
        <v>98</v>
      </c>
      <c r="AE9" s="93" t="s">
        <v>98</v>
      </c>
      <c r="AF9" s="93" t="s">
        <v>98</v>
      </c>
      <c r="AG9" s="93" t="s">
        <v>98</v>
      </c>
      <c r="AH9" s="93" t="s">
        <v>98</v>
      </c>
      <c r="AI9" s="93" t="s">
        <v>98</v>
      </c>
      <c r="AJ9" s="93" t="s">
        <v>98</v>
      </c>
      <c r="AK9" s="93" t="s">
        <v>98</v>
      </c>
      <c r="AL9" s="93" t="s">
        <v>98</v>
      </c>
      <c r="AM9" s="93" t="s">
        <v>98</v>
      </c>
      <c r="AN9" s="93" t="s">
        <v>98</v>
      </c>
      <c r="AO9" s="93" t="s">
        <v>98</v>
      </c>
      <c r="AP9" s="93" t="s">
        <v>139</v>
      </c>
      <c r="AQ9" s="93" t="s">
        <v>98</v>
      </c>
      <c r="AR9" s="93" t="s">
        <v>98</v>
      </c>
      <c r="AS9" s="93" t="e">
        <v>#VALUE!</v>
      </c>
      <c r="AT9" s="93" t="s">
        <v>98</v>
      </c>
      <c r="AU9" s="93" t="s">
        <v>98</v>
      </c>
      <c r="AV9" s="93" t="s">
        <v>98</v>
      </c>
      <c r="AW9" s="93" t="s">
        <v>98</v>
      </c>
      <c r="AX9" s="93" t="s">
        <v>113</v>
      </c>
      <c r="AY9" s="93" t="s">
        <v>139</v>
      </c>
      <c r="AZ9" s="95">
        <v>45370.0</v>
      </c>
      <c r="BA9" s="95"/>
    </row>
    <row r="10" ht="30.75" customHeight="1">
      <c r="A10" s="93"/>
      <c r="B10" s="94"/>
      <c r="C10" s="94" t="s">
        <v>83</v>
      </c>
      <c r="D10" s="93">
        <v>2.0</v>
      </c>
      <c r="E10" s="93" t="s">
        <v>131</v>
      </c>
      <c r="F10" s="93" t="s">
        <v>140</v>
      </c>
      <c r="G10" s="93" t="s">
        <v>86</v>
      </c>
      <c r="H10" s="93" t="s">
        <v>141</v>
      </c>
      <c r="I10" s="93" t="s">
        <v>118</v>
      </c>
      <c r="J10" s="93" t="s">
        <v>134</v>
      </c>
      <c r="K10" s="93" t="s">
        <v>135</v>
      </c>
      <c r="L10" s="93" t="s">
        <v>142</v>
      </c>
      <c r="M10" s="93">
        <v>1217.0</v>
      </c>
      <c r="N10" s="93" t="s">
        <v>137</v>
      </c>
      <c r="O10" s="93" t="s">
        <v>138</v>
      </c>
      <c r="P10" s="93">
        <v>6.0</v>
      </c>
      <c r="Q10" s="93">
        <v>1.0</v>
      </c>
      <c r="R10" s="93" t="s">
        <v>98</v>
      </c>
      <c r="S10" s="93" t="s">
        <v>98</v>
      </c>
      <c r="T10" s="93" t="s">
        <v>98</v>
      </c>
      <c r="U10" s="93" t="s">
        <v>98</v>
      </c>
      <c r="V10" s="93" t="s">
        <v>98</v>
      </c>
      <c r="W10" s="93" t="s">
        <v>98</v>
      </c>
      <c r="X10" s="93" t="s">
        <v>98</v>
      </c>
      <c r="Y10" s="93" t="s">
        <v>98</v>
      </c>
      <c r="Z10" s="93" t="s">
        <v>98</v>
      </c>
      <c r="AA10" s="93" t="s">
        <v>98</v>
      </c>
      <c r="AB10" s="93" t="s">
        <v>98</v>
      </c>
      <c r="AC10" s="93" t="s">
        <v>98</v>
      </c>
      <c r="AD10" s="93" t="s">
        <v>98</v>
      </c>
      <c r="AE10" s="93" t="s">
        <v>98</v>
      </c>
      <c r="AF10" s="93" t="s">
        <v>98</v>
      </c>
      <c r="AG10" s="93" t="s">
        <v>98</v>
      </c>
      <c r="AH10" s="93" t="s">
        <v>98</v>
      </c>
      <c r="AI10" s="93" t="s">
        <v>98</v>
      </c>
      <c r="AJ10" s="93" t="s">
        <v>98</v>
      </c>
      <c r="AK10" s="93" t="s">
        <v>98</v>
      </c>
      <c r="AL10" s="93" t="s">
        <v>98</v>
      </c>
      <c r="AM10" s="93" t="s">
        <v>98</v>
      </c>
      <c r="AN10" s="93" t="s">
        <v>98</v>
      </c>
      <c r="AO10" s="93" t="s">
        <v>98</v>
      </c>
      <c r="AP10" s="93">
        <v>0.0</v>
      </c>
      <c r="AQ10" s="93" t="s">
        <v>98</v>
      </c>
      <c r="AR10" s="93" t="s">
        <v>98</v>
      </c>
      <c r="AS10" s="93" t="e">
        <v>#VALUE!</v>
      </c>
      <c r="AT10" s="93" t="s">
        <v>98</v>
      </c>
      <c r="AU10" s="93" t="s">
        <v>98</v>
      </c>
      <c r="AV10" s="93" t="s">
        <v>98</v>
      </c>
      <c r="AW10" s="93" t="s">
        <v>98</v>
      </c>
      <c r="AX10" s="93" t="s">
        <v>113</v>
      </c>
      <c r="AY10" s="93">
        <v>0.0</v>
      </c>
      <c r="AZ10" s="95">
        <v>45370.0</v>
      </c>
      <c r="BA10" s="95"/>
    </row>
    <row r="11" ht="30.75" customHeight="1">
      <c r="A11" s="93" t="s">
        <v>81</v>
      </c>
      <c r="B11" s="94" t="s">
        <v>82</v>
      </c>
      <c r="C11" s="94" t="s">
        <v>83</v>
      </c>
      <c r="D11" s="93">
        <v>1.0</v>
      </c>
      <c r="E11" s="93" t="s">
        <v>116</v>
      </c>
      <c r="F11" s="93" t="s">
        <v>143</v>
      </c>
      <c r="G11" s="93" t="s">
        <v>86</v>
      </c>
      <c r="H11" s="93" t="s">
        <v>144</v>
      </c>
      <c r="I11" s="93" t="s">
        <v>88</v>
      </c>
      <c r="J11" s="93" t="s">
        <v>145</v>
      </c>
      <c r="K11" s="93" t="s">
        <v>146</v>
      </c>
      <c r="L11" s="93" t="s">
        <v>147</v>
      </c>
      <c r="M11" s="102">
        <v>92.0311</v>
      </c>
      <c r="N11" s="93" t="s">
        <v>148</v>
      </c>
      <c r="O11" s="93" t="s">
        <v>94</v>
      </c>
      <c r="P11" s="93">
        <v>12.0</v>
      </c>
      <c r="Q11" s="93">
        <v>1.0</v>
      </c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>
        <v>1.0</v>
      </c>
      <c r="AC11" s="93">
        <v>1.0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>
        <v>0.0</v>
      </c>
      <c r="AQ11" s="95" t="s">
        <v>95</v>
      </c>
      <c r="AR11" s="95" t="s">
        <v>95</v>
      </c>
      <c r="AS11" s="95" t="s">
        <v>96</v>
      </c>
      <c r="AT11" s="96" t="s">
        <v>149</v>
      </c>
      <c r="AU11" s="93" t="s">
        <v>150</v>
      </c>
      <c r="AV11" s="93" t="s">
        <v>151</v>
      </c>
      <c r="AW11" s="93" t="s">
        <v>152</v>
      </c>
      <c r="AX11" s="95" t="s">
        <v>99</v>
      </c>
      <c r="AY11" s="93" t="str">
        <f t="shared" ref="AY11:AY14" si="5">#REF!</f>
        <v>#REF!</v>
      </c>
      <c r="AZ11" s="95">
        <f t="shared" ref="AZ11:AZ14" si="6">TODAY()</f>
        <v>46171</v>
      </c>
      <c r="BA11" s="95"/>
    </row>
    <row r="12" ht="30.75" customHeight="1">
      <c r="A12" s="93" t="s">
        <v>81</v>
      </c>
      <c r="B12" s="94" t="s">
        <v>82</v>
      </c>
      <c r="C12" s="94" t="s">
        <v>83</v>
      </c>
      <c r="D12" s="93">
        <v>1.0</v>
      </c>
      <c r="E12" s="93" t="s">
        <v>153</v>
      </c>
      <c r="F12" s="93" t="s">
        <v>154</v>
      </c>
      <c r="G12" s="93" t="s">
        <v>86</v>
      </c>
      <c r="H12" s="93" t="s">
        <v>155</v>
      </c>
      <c r="I12" s="93" t="s">
        <v>88</v>
      </c>
      <c r="J12" s="93" t="s">
        <v>156</v>
      </c>
      <c r="K12" s="93" t="s">
        <v>146</v>
      </c>
      <c r="L12" s="93" t="s">
        <v>157</v>
      </c>
      <c r="M12" s="93">
        <v>920339.0</v>
      </c>
      <c r="N12" s="93" t="s">
        <v>98</v>
      </c>
      <c r="O12" s="93" t="s">
        <v>94</v>
      </c>
      <c r="P12" s="93">
        <v>12.0</v>
      </c>
      <c r="Q12" s="93">
        <v>1.0</v>
      </c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>
        <v>1.0</v>
      </c>
      <c r="AG12" s="93">
        <v>1.0</v>
      </c>
      <c r="AH12" s="93"/>
      <c r="AI12" s="93"/>
      <c r="AJ12" s="93"/>
      <c r="AK12" s="93"/>
      <c r="AL12" s="93"/>
      <c r="AM12" s="93"/>
      <c r="AN12" s="93"/>
      <c r="AO12" s="93"/>
      <c r="AP12" s="93" t="str">
        <f t="shared" ref="AP12:AP14" si="7">#REF!</f>
        <v>#REF!</v>
      </c>
      <c r="AQ12" s="95">
        <v>244082.0</v>
      </c>
      <c r="AR12" s="95">
        <v>244082.0</v>
      </c>
      <c r="AS12" s="95">
        <v>244416.0</v>
      </c>
      <c r="AT12" s="93" t="s">
        <v>158</v>
      </c>
      <c r="AU12" s="93" t="s">
        <v>98</v>
      </c>
      <c r="AV12" s="93" t="s">
        <v>159</v>
      </c>
      <c r="AW12" s="93" t="s">
        <v>98</v>
      </c>
      <c r="AX12" s="93" t="s">
        <v>99</v>
      </c>
      <c r="AY12" s="93" t="str">
        <f t="shared" si="5"/>
        <v>#REF!</v>
      </c>
      <c r="AZ12" s="95">
        <f t="shared" si="6"/>
        <v>46171</v>
      </c>
      <c r="BA12" s="95"/>
    </row>
    <row r="13" ht="30.75" customHeight="1">
      <c r="A13" s="93" t="s">
        <v>81</v>
      </c>
      <c r="B13" s="94" t="s">
        <v>82</v>
      </c>
      <c r="C13" s="94" t="s">
        <v>83</v>
      </c>
      <c r="D13" s="93">
        <v>2.0</v>
      </c>
      <c r="E13" s="93" t="s">
        <v>116</v>
      </c>
      <c r="F13" s="93" t="s">
        <v>160</v>
      </c>
      <c r="G13" s="93" t="s">
        <v>161</v>
      </c>
      <c r="H13" s="93" t="s">
        <v>162</v>
      </c>
      <c r="I13" s="93" t="s">
        <v>88</v>
      </c>
      <c r="J13" s="93" t="s">
        <v>163</v>
      </c>
      <c r="K13" s="93" t="s">
        <v>164</v>
      </c>
      <c r="L13" s="93" t="s">
        <v>165</v>
      </c>
      <c r="M13" s="102">
        <v>602006.0</v>
      </c>
      <c r="N13" s="93" t="s">
        <v>166</v>
      </c>
      <c r="O13" s="93" t="s">
        <v>167</v>
      </c>
      <c r="P13" s="93">
        <v>12.0</v>
      </c>
      <c r="Q13" s="93" t="s">
        <v>98</v>
      </c>
      <c r="R13" s="93" t="s">
        <v>98</v>
      </c>
      <c r="S13" s="93" t="s">
        <v>98</v>
      </c>
      <c r="T13" s="93" t="s">
        <v>98</v>
      </c>
      <c r="U13" s="93" t="s">
        <v>98</v>
      </c>
      <c r="V13" s="93" t="s">
        <v>98</v>
      </c>
      <c r="W13" s="93" t="s">
        <v>98</v>
      </c>
      <c r="X13" s="93" t="s">
        <v>98</v>
      </c>
      <c r="Y13" s="93" t="s">
        <v>98</v>
      </c>
      <c r="Z13" s="93" t="s">
        <v>98</v>
      </c>
      <c r="AA13" s="93" t="s">
        <v>98</v>
      </c>
      <c r="AB13" s="93" t="s">
        <v>98</v>
      </c>
      <c r="AC13" s="93" t="s">
        <v>98</v>
      </c>
      <c r="AD13" s="93" t="s">
        <v>98</v>
      </c>
      <c r="AE13" s="93" t="s">
        <v>98</v>
      </c>
      <c r="AF13" s="93" t="s">
        <v>98</v>
      </c>
      <c r="AG13" s="93" t="s">
        <v>98</v>
      </c>
      <c r="AH13" s="93" t="s">
        <v>98</v>
      </c>
      <c r="AI13" s="93" t="s">
        <v>98</v>
      </c>
      <c r="AJ13" s="93" t="s">
        <v>98</v>
      </c>
      <c r="AK13" s="93" t="s">
        <v>98</v>
      </c>
      <c r="AL13" s="93" t="s">
        <v>98</v>
      </c>
      <c r="AM13" s="93" t="s">
        <v>98</v>
      </c>
      <c r="AN13" s="93" t="s">
        <v>98</v>
      </c>
      <c r="AO13" s="93" t="s">
        <v>98</v>
      </c>
      <c r="AP13" s="93" t="str">
        <f t="shared" si="7"/>
        <v>#REF!</v>
      </c>
      <c r="AQ13" s="95" t="s">
        <v>98</v>
      </c>
      <c r="AR13" s="95" t="s">
        <v>98</v>
      </c>
      <c r="AS13" s="95" t="str">
        <f t="shared" ref="AS13:AS14" si="8">DATE(YEAR(AQ13),MONTH(AQ13)+P13,DAY(AQ13))</f>
        <v>#VALUE!</v>
      </c>
      <c r="AT13" s="93" t="s">
        <v>98</v>
      </c>
      <c r="AU13" s="93" t="s">
        <v>98</v>
      </c>
      <c r="AV13" s="93" t="s">
        <v>98</v>
      </c>
      <c r="AW13" s="93" t="s">
        <v>98</v>
      </c>
      <c r="AX13" s="93" t="s">
        <v>113</v>
      </c>
      <c r="AY13" s="93" t="str">
        <f t="shared" si="5"/>
        <v>#REF!</v>
      </c>
      <c r="AZ13" s="95">
        <f t="shared" si="6"/>
        <v>46171</v>
      </c>
      <c r="BA13" s="95"/>
    </row>
    <row r="14" ht="30.75" customHeight="1">
      <c r="A14" s="93" t="s">
        <v>81</v>
      </c>
      <c r="B14" s="94" t="s">
        <v>82</v>
      </c>
      <c r="C14" s="94" t="s">
        <v>83</v>
      </c>
      <c r="D14" s="93">
        <v>3.0</v>
      </c>
      <c r="E14" s="93" t="s">
        <v>116</v>
      </c>
      <c r="F14" s="93" t="s">
        <v>168</v>
      </c>
      <c r="G14" s="93" t="s">
        <v>161</v>
      </c>
      <c r="H14" s="93" t="s">
        <v>169</v>
      </c>
      <c r="I14" s="93" t="s">
        <v>88</v>
      </c>
      <c r="J14" s="93" t="s">
        <v>163</v>
      </c>
      <c r="K14" s="93" t="s">
        <v>170</v>
      </c>
      <c r="L14" s="93" t="s">
        <v>171</v>
      </c>
      <c r="M14" s="102" t="s">
        <v>166</v>
      </c>
      <c r="N14" s="93" t="s">
        <v>172</v>
      </c>
      <c r="O14" s="93" t="s">
        <v>167</v>
      </c>
      <c r="P14" s="93">
        <v>12.0</v>
      </c>
      <c r="Q14" s="93" t="s">
        <v>98</v>
      </c>
      <c r="R14" s="93" t="s">
        <v>98</v>
      </c>
      <c r="S14" s="93" t="s">
        <v>98</v>
      </c>
      <c r="T14" s="93" t="s">
        <v>98</v>
      </c>
      <c r="U14" s="93" t="s">
        <v>98</v>
      </c>
      <c r="V14" s="93" t="s">
        <v>98</v>
      </c>
      <c r="W14" s="93" t="s">
        <v>98</v>
      </c>
      <c r="X14" s="93" t="s">
        <v>98</v>
      </c>
      <c r="Y14" s="93" t="s">
        <v>98</v>
      </c>
      <c r="Z14" s="93" t="s">
        <v>98</v>
      </c>
      <c r="AA14" s="93" t="s">
        <v>98</v>
      </c>
      <c r="AB14" s="93" t="s">
        <v>98</v>
      </c>
      <c r="AC14" s="93" t="s">
        <v>98</v>
      </c>
      <c r="AD14" s="93" t="s">
        <v>98</v>
      </c>
      <c r="AE14" s="93" t="s">
        <v>98</v>
      </c>
      <c r="AF14" s="93" t="s">
        <v>98</v>
      </c>
      <c r="AG14" s="93" t="s">
        <v>98</v>
      </c>
      <c r="AH14" s="93" t="s">
        <v>98</v>
      </c>
      <c r="AI14" s="93" t="s">
        <v>98</v>
      </c>
      <c r="AJ14" s="93" t="s">
        <v>98</v>
      </c>
      <c r="AK14" s="93" t="s">
        <v>98</v>
      </c>
      <c r="AL14" s="93" t="s">
        <v>98</v>
      </c>
      <c r="AM14" s="93" t="s">
        <v>98</v>
      </c>
      <c r="AN14" s="93" t="s">
        <v>98</v>
      </c>
      <c r="AO14" s="93" t="s">
        <v>98</v>
      </c>
      <c r="AP14" s="93" t="str">
        <f t="shared" si="7"/>
        <v>#REF!</v>
      </c>
      <c r="AQ14" s="95" t="s">
        <v>98</v>
      </c>
      <c r="AR14" s="95" t="s">
        <v>98</v>
      </c>
      <c r="AS14" s="95" t="str">
        <f t="shared" si="8"/>
        <v>#VALUE!</v>
      </c>
      <c r="AT14" s="93" t="s">
        <v>98</v>
      </c>
      <c r="AU14" s="93" t="s">
        <v>98</v>
      </c>
      <c r="AV14" s="93" t="s">
        <v>98</v>
      </c>
      <c r="AW14" s="93" t="s">
        <v>98</v>
      </c>
      <c r="AX14" s="93" t="s">
        <v>113</v>
      </c>
      <c r="AY14" s="93" t="str">
        <f t="shared" si="5"/>
        <v>#REF!</v>
      </c>
      <c r="AZ14" s="95">
        <f t="shared" si="6"/>
        <v>46171</v>
      </c>
      <c r="BA14" s="95"/>
    </row>
    <row r="15" ht="30.75" customHeight="1">
      <c r="A15" s="93" t="s">
        <v>106</v>
      </c>
      <c r="B15" s="94" t="s">
        <v>82</v>
      </c>
      <c r="C15" s="94" t="s">
        <v>83</v>
      </c>
      <c r="D15" s="93">
        <v>1.0</v>
      </c>
      <c r="E15" s="93" t="s">
        <v>173</v>
      </c>
      <c r="F15" s="93" t="s">
        <v>174</v>
      </c>
      <c r="G15" s="93" t="s">
        <v>86</v>
      </c>
      <c r="H15" s="93" t="s">
        <v>98</v>
      </c>
      <c r="I15" s="93"/>
      <c r="J15" s="93" t="s">
        <v>163</v>
      </c>
      <c r="K15" s="93" t="s">
        <v>175</v>
      </c>
      <c r="L15" s="93" t="s">
        <v>98</v>
      </c>
      <c r="M15" s="93" t="s">
        <v>98</v>
      </c>
      <c r="N15" s="93" t="s">
        <v>98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5"/>
      <c r="AR15" s="95"/>
      <c r="AS15" s="95"/>
      <c r="AT15" s="93"/>
      <c r="AU15" s="93"/>
      <c r="AV15" s="93"/>
      <c r="AW15" s="93"/>
      <c r="AX15" s="93"/>
      <c r="AY15" s="93"/>
      <c r="AZ15" s="95"/>
      <c r="BA15" s="95"/>
    </row>
    <row r="16" ht="30.75" customHeight="1">
      <c r="A16" s="93" t="s">
        <v>176</v>
      </c>
      <c r="B16" s="94" t="s">
        <v>107</v>
      </c>
      <c r="C16" s="94" t="s">
        <v>83</v>
      </c>
      <c r="D16" s="93">
        <v>1.0</v>
      </c>
      <c r="E16" s="93" t="s">
        <v>173</v>
      </c>
      <c r="F16" s="93" t="s">
        <v>177</v>
      </c>
      <c r="G16" s="93" t="s">
        <v>86</v>
      </c>
      <c r="H16" s="93" t="s">
        <v>178</v>
      </c>
      <c r="I16" s="93" t="s">
        <v>88</v>
      </c>
      <c r="J16" s="93" t="s">
        <v>163</v>
      </c>
      <c r="K16" s="93" t="s">
        <v>175</v>
      </c>
      <c r="L16" s="93" t="s">
        <v>98</v>
      </c>
      <c r="M16" s="93" t="s">
        <v>98</v>
      </c>
      <c r="N16" s="93" t="s">
        <v>98</v>
      </c>
      <c r="O16" s="93" t="s">
        <v>167</v>
      </c>
      <c r="P16" s="93">
        <v>12.0</v>
      </c>
      <c r="Q16" s="93" t="s">
        <v>98</v>
      </c>
      <c r="R16" s="93" t="s">
        <v>98</v>
      </c>
      <c r="S16" s="93" t="s">
        <v>98</v>
      </c>
      <c r="T16" s="93" t="s">
        <v>98</v>
      </c>
      <c r="U16" s="93" t="s">
        <v>98</v>
      </c>
      <c r="V16" s="93" t="s">
        <v>98</v>
      </c>
      <c r="W16" s="93" t="s">
        <v>98</v>
      </c>
      <c r="X16" s="93" t="s">
        <v>98</v>
      </c>
      <c r="Y16" s="93" t="s">
        <v>98</v>
      </c>
      <c r="Z16" s="93" t="s">
        <v>98</v>
      </c>
      <c r="AA16" s="93" t="s">
        <v>98</v>
      </c>
      <c r="AB16" s="93" t="s">
        <v>98</v>
      </c>
      <c r="AC16" s="93" t="s">
        <v>98</v>
      </c>
      <c r="AD16" s="93" t="s">
        <v>98</v>
      </c>
      <c r="AE16" s="93" t="s">
        <v>98</v>
      </c>
      <c r="AF16" s="93" t="s">
        <v>98</v>
      </c>
      <c r="AG16" s="93" t="s">
        <v>98</v>
      </c>
      <c r="AH16" s="93" t="s">
        <v>98</v>
      </c>
      <c r="AI16" s="93" t="s">
        <v>98</v>
      </c>
      <c r="AJ16" s="93" t="s">
        <v>98</v>
      </c>
      <c r="AK16" s="93" t="s">
        <v>98</v>
      </c>
      <c r="AL16" s="93" t="s">
        <v>98</v>
      </c>
      <c r="AM16" s="93" t="s">
        <v>98</v>
      </c>
      <c r="AN16" s="93" t="s">
        <v>98</v>
      </c>
      <c r="AO16" s="93" t="s">
        <v>98</v>
      </c>
      <c r="AP16" s="93" t="str">
        <f t="shared" ref="AP16:AP21" si="9">#REF!</f>
        <v>#REF!</v>
      </c>
      <c r="AQ16" s="95" t="s">
        <v>98</v>
      </c>
      <c r="AR16" s="95" t="s">
        <v>98</v>
      </c>
      <c r="AS16" s="95" t="str">
        <f t="shared" ref="AS16:AS21" si="10">DATE(YEAR(AQ16),MONTH(AQ16)+P16,DAY(AQ16))</f>
        <v>#VALUE!</v>
      </c>
      <c r="AT16" s="93" t="s">
        <v>98</v>
      </c>
      <c r="AU16" s="93" t="s">
        <v>98</v>
      </c>
      <c r="AV16" s="93" t="s">
        <v>98</v>
      </c>
      <c r="AW16" s="93" t="s">
        <v>98</v>
      </c>
      <c r="AX16" s="93" t="s">
        <v>113</v>
      </c>
      <c r="AY16" s="93" t="str">
        <f t="shared" ref="AY16:AY22" si="11">#REF!</f>
        <v>#REF!</v>
      </c>
      <c r="AZ16" s="95">
        <f t="shared" ref="AZ16:AZ17" si="12">TODAY()</f>
        <v>46171</v>
      </c>
      <c r="BA16" s="95"/>
    </row>
    <row r="17" ht="30.75" customHeight="1">
      <c r="A17" s="93"/>
      <c r="B17" s="94" t="s">
        <v>107</v>
      </c>
      <c r="C17" s="94" t="s">
        <v>83</v>
      </c>
      <c r="D17" s="93">
        <v>4.0</v>
      </c>
      <c r="E17" s="93" t="s">
        <v>84</v>
      </c>
      <c r="F17" s="93" t="s">
        <v>179</v>
      </c>
      <c r="G17" s="93" t="s">
        <v>86</v>
      </c>
      <c r="H17" s="93" t="s">
        <v>180</v>
      </c>
      <c r="I17" s="93" t="s">
        <v>88</v>
      </c>
      <c r="J17" s="93" t="s">
        <v>181</v>
      </c>
      <c r="K17" s="93" t="s">
        <v>182</v>
      </c>
      <c r="L17" s="93" t="s">
        <v>183</v>
      </c>
      <c r="M17" s="93">
        <v>111609.0</v>
      </c>
      <c r="N17" s="93" t="s">
        <v>184</v>
      </c>
      <c r="O17" s="93" t="s">
        <v>138</v>
      </c>
      <c r="P17" s="93">
        <v>12.0</v>
      </c>
      <c r="Q17" s="93">
        <v>1.0</v>
      </c>
      <c r="R17" s="93" t="s">
        <v>98</v>
      </c>
      <c r="S17" s="93" t="s">
        <v>98</v>
      </c>
      <c r="T17" s="93" t="s">
        <v>98</v>
      </c>
      <c r="U17" s="93" t="s">
        <v>98</v>
      </c>
      <c r="V17" s="93" t="s">
        <v>98</v>
      </c>
      <c r="W17" s="93" t="s">
        <v>98</v>
      </c>
      <c r="X17" s="93" t="s">
        <v>98</v>
      </c>
      <c r="Y17" s="93" t="s">
        <v>98</v>
      </c>
      <c r="Z17" s="93" t="s">
        <v>98</v>
      </c>
      <c r="AA17" s="93" t="s">
        <v>98</v>
      </c>
      <c r="AB17" s="93" t="s">
        <v>98</v>
      </c>
      <c r="AC17" s="93" t="s">
        <v>98</v>
      </c>
      <c r="AD17" s="93" t="s">
        <v>98</v>
      </c>
      <c r="AE17" s="93" t="s">
        <v>98</v>
      </c>
      <c r="AF17" s="93" t="s">
        <v>98</v>
      </c>
      <c r="AG17" s="93" t="s">
        <v>98</v>
      </c>
      <c r="AH17" s="93" t="s">
        <v>98</v>
      </c>
      <c r="AI17" s="93" t="s">
        <v>98</v>
      </c>
      <c r="AJ17" s="93" t="s">
        <v>98</v>
      </c>
      <c r="AK17" s="93" t="s">
        <v>98</v>
      </c>
      <c r="AL17" s="93" t="s">
        <v>98</v>
      </c>
      <c r="AM17" s="93" t="s">
        <v>98</v>
      </c>
      <c r="AN17" s="93" t="s">
        <v>98</v>
      </c>
      <c r="AO17" s="93" t="s">
        <v>98</v>
      </c>
      <c r="AP17" s="93" t="str">
        <f t="shared" si="9"/>
        <v>#REF!</v>
      </c>
      <c r="AQ17" s="95" t="s">
        <v>98</v>
      </c>
      <c r="AR17" s="95" t="s">
        <v>98</v>
      </c>
      <c r="AS17" s="95" t="str">
        <f t="shared" si="10"/>
        <v>#VALUE!</v>
      </c>
      <c r="AT17" s="93" t="s">
        <v>98</v>
      </c>
      <c r="AU17" s="93" t="s">
        <v>98</v>
      </c>
      <c r="AV17" s="93" t="s">
        <v>98</v>
      </c>
      <c r="AW17" s="93" t="s">
        <v>98</v>
      </c>
      <c r="AX17" s="93" t="s">
        <v>113</v>
      </c>
      <c r="AY17" s="93" t="str">
        <f t="shared" si="11"/>
        <v>#REF!</v>
      </c>
      <c r="AZ17" s="95">
        <f t="shared" si="12"/>
        <v>46171</v>
      </c>
      <c r="BA17" s="95"/>
    </row>
    <row r="18" ht="30.75" customHeight="1">
      <c r="A18" s="93"/>
      <c r="B18" s="94" t="s">
        <v>107</v>
      </c>
      <c r="C18" s="94" t="s">
        <v>83</v>
      </c>
      <c r="D18" s="94">
        <v>3.0</v>
      </c>
      <c r="E18" s="93" t="s">
        <v>84</v>
      </c>
      <c r="F18" s="93" t="s">
        <v>185</v>
      </c>
      <c r="G18" s="93" t="s">
        <v>86</v>
      </c>
      <c r="H18" s="93" t="s">
        <v>186</v>
      </c>
      <c r="I18" s="93" t="s">
        <v>88</v>
      </c>
      <c r="J18" s="93" t="s">
        <v>181</v>
      </c>
      <c r="K18" s="93" t="s">
        <v>182</v>
      </c>
      <c r="L18" s="93" t="s">
        <v>183</v>
      </c>
      <c r="M18" s="93">
        <v>1108121.0</v>
      </c>
      <c r="N18" s="93" t="s">
        <v>184</v>
      </c>
      <c r="O18" s="93" t="s">
        <v>138</v>
      </c>
      <c r="P18" s="93">
        <v>12.0</v>
      </c>
      <c r="Q18" s="93">
        <v>1.0</v>
      </c>
      <c r="R18" s="93" t="s">
        <v>98</v>
      </c>
      <c r="S18" s="93" t="s">
        <v>98</v>
      </c>
      <c r="T18" s="93" t="s">
        <v>98</v>
      </c>
      <c r="U18" s="93" t="s">
        <v>98</v>
      </c>
      <c r="V18" s="93" t="s">
        <v>98</v>
      </c>
      <c r="W18" s="93" t="s">
        <v>98</v>
      </c>
      <c r="X18" s="93" t="s">
        <v>98</v>
      </c>
      <c r="Y18" s="93" t="s">
        <v>98</v>
      </c>
      <c r="Z18" s="93" t="s">
        <v>98</v>
      </c>
      <c r="AA18" s="93" t="s">
        <v>98</v>
      </c>
      <c r="AB18" s="93" t="s">
        <v>98</v>
      </c>
      <c r="AC18" s="93" t="s">
        <v>98</v>
      </c>
      <c r="AD18" s="93" t="s">
        <v>98</v>
      </c>
      <c r="AE18" s="93" t="s">
        <v>98</v>
      </c>
      <c r="AF18" s="93" t="s">
        <v>98</v>
      </c>
      <c r="AG18" s="93" t="s">
        <v>98</v>
      </c>
      <c r="AH18" s="93" t="s">
        <v>98</v>
      </c>
      <c r="AI18" s="93" t="s">
        <v>98</v>
      </c>
      <c r="AJ18" s="93" t="s">
        <v>98</v>
      </c>
      <c r="AK18" s="93" t="s">
        <v>98</v>
      </c>
      <c r="AL18" s="93" t="s">
        <v>98</v>
      </c>
      <c r="AM18" s="93" t="s">
        <v>98</v>
      </c>
      <c r="AN18" s="93" t="s">
        <v>98</v>
      </c>
      <c r="AO18" s="93" t="s">
        <v>98</v>
      </c>
      <c r="AP18" s="93" t="str">
        <f t="shared" si="9"/>
        <v>#REF!</v>
      </c>
      <c r="AQ18" s="95" t="s">
        <v>98</v>
      </c>
      <c r="AR18" s="95" t="s">
        <v>98</v>
      </c>
      <c r="AS18" s="95" t="str">
        <f t="shared" si="10"/>
        <v>#VALUE!</v>
      </c>
      <c r="AT18" s="93" t="s">
        <v>98</v>
      </c>
      <c r="AU18" s="93" t="s">
        <v>98</v>
      </c>
      <c r="AV18" s="93" t="s">
        <v>98</v>
      </c>
      <c r="AW18" s="93" t="s">
        <v>98</v>
      </c>
      <c r="AX18" s="93" t="s">
        <v>113</v>
      </c>
      <c r="AY18" s="93" t="str">
        <f t="shared" si="11"/>
        <v>#REF!</v>
      </c>
      <c r="AZ18" s="95"/>
      <c r="BA18" s="95"/>
    </row>
    <row r="19" ht="30.75" customHeight="1">
      <c r="A19" s="93"/>
      <c r="B19" s="94" t="s">
        <v>107</v>
      </c>
      <c r="C19" s="94" t="s">
        <v>83</v>
      </c>
      <c r="D19" s="94">
        <v>5.0</v>
      </c>
      <c r="E19" s="93" t="s">
        <v>84</v>
      </c>
      <c r="F19" s="93" t="s">
        <v>187</v>
      </c>
      <c r="G19" s="93" t="s">
        <v>86</v>
      </c>
      <c r="H19" s="93" t="s">
        <v>188</v>
      </c>
      <c r="I19" s="93" t="s">
        <v>88</v>
      </c>
      <c r="J19" s="93" t="s">
        <v>181</v>
      </c>
      <c r="K19" s="93" t="s">
        <v>182</v>
      </c>
      <c r="L19" s="93" t="s">
        <v>183</v>
      </c>
      <c r="M19" s="93">
        <v>1111053.0</v>
      </c>
      <c r="N19" s="93" t="s">
        <v>184</v>
      </c>
      <c r="O19" s="93" t="s">
        <v>138</v>
      </c>
      <c r="P19" s="93">
        <v>12.0</v>
      </c>
      <c r="Q19" s="93">
        <v>1.0</v>
      </c>
      <c r="R19" s="93" t="s">
        <v>98</v>
      </c>
      <c r="S19" s="93" t="s">
        <v>98</v>
      </c>
      <c r="T19" s="93" t="s">
        <v>98</v>
      </c>
      <c r="U19" s="93" t="s">
        <v>98</v>
      </c>
      <c r="V19" s="93" t="s">
        <v>98</v>
      </c>
      <c r="W19" s="93" t="s">
        <v>98</v>
      </c>
      <c r="X19" s="93" t="s">
        <v>98</v>
      </c>
      <c r="Y19" s="93" t="s">
        <v>98</v>
      </c>
      <c r="Z19" s="93" t="s">
        <v>98</v>
      </c>
      <c r="AA19" s="93" t="s">
        <v>98</v>
      </c>
      <c r="AB19" s="93" t="s">
        <v>98</v>
      </c>
      <c r="AC19" s="93" t="s">
        <v>98</v>
      </c>
      <c r="AD19" s="93" t="s">
        <v>98</v>
      </c>
      <c r="AE19" s="93" t="s">
        <v>98</v>
      </c>
      <c r="AF19" s="93" t="s">
        <v>98</v>
      </c>
      <c r="AG19" s="93" t="s">
        <v>98</v>
      </c>
      <c r="AH19" s="93" t="s">
        <v>98</v>
      </c>
      <c r="AI19" s="93" t="s">
        <v>98</v>
      </c>
      <c r="AJ19" s="93" t="s">
        <v>98</v>
      </c>
      <c r="AK19" s="93" t="s">
        <v>98</v>
      </c>
      <c r="AL19" s="93" t="s">
        <v>98</v>
      </c>
      <c r="AM19" s="93" t="s">
        <v>98</v>
      </c>
      <c r="AN19" s="93" t="s">
        <v>98</v>
      </c>
      <c r="AO19" s="93" t="s">
        <v>98</v>
      </c>
      <c r="AP19" s="93" t="str">
        <f t="shared" si="9"/>
        <v>#REF!</v>
      </c>
      <c r="AQ19" s="95" t="s">
        <v>98</v>
      </c>
      <c r="AR19" s="95" t="s">
        <v>98</v>
      </c>
      <c r="AS19" s="95" t="str">
        <f t="shared" si="10"/>
        <v>#VALUE!</v>
      </c>
      <c r="AT19" s="93" t="s">
        <v>98</v>
      </c>
      <c r="AU19" s="93" t="s">
        <v>98</v>
      </c>
      <c r="AV19" s="93" t="s">
        <v>98</v>
      </c>
      <c r="AW19" s="93" t="s">
        <v>98</v>
      </c>
      <c r="AX19" s="93" t="s">
        <v>113</v>
      </c>
      <c r="AY19" s="93" t="str">
        <f t="shared" si="11"/>
        <v>#REF!</v>
      </c>
      <c r="AZ19" s="95">
        <f t="shared" ref="AZ19:AZ22" si="13">TODAY()</f>
        <v>46171</v>
      </c>
      <c r="BA19" s="95"/>
    </row>
    <row r="20" ht="30.75" customHeight="1">
      <c r="A20" s="93"/>
      <c r="B20" s="94" t="s">
        <v>82</v>
      </c>
      <c r="C20" s="94" t="s">
        <v>83</v>
      </c>
      <c r="D20" s="93">
        <v>14.0</v>
      </c>
      <c r="E20" s="93" t="s">
        <v>84</v>
      </c>
      <c r="F20" s="93" t="s">
        <v>189</v>
      </c>
      <c r="G20" s="93" t="s">
        <v>86</v>
      </c>
      <c r="H20" s="93" t="s">
        <v>190</v>
      </c>
      <c r="I20" s="93" t="s">
        <v>88</v>
      </c>
      <c r="J20" s="93" t="s">
        <v>191</v>
      </c>
      <c r="K20" s="93" t="s">
        <v>192</v>
      </c>
      <c r="L20" s="93" t="s">
        <v>193</v>
      </c>
      <c r="M20" s="93">
        <v>96267.0</v>
      </c>
      <c r="N20" s="93" t="s">
        <v>194</v>
      </c>
      <c r="O20" s="93" t="s">
        <v>94</v>
      </c>
      <c r="P20" s="93">
        <v>12.0</v>
      </c>
      <c r="Q20" s="93">
        <v>1.0</v>
      </c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>
        <v>1.0</v>
      </c>
      <c r="AE20" s="93">
        <v>1.0</v>
      </c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 t="str">
        <f t="shared" si="9"/>
        <v>#REF!</v>
      </c>
      <c r="AQ20" s="95" t="s">
        <v>98</v>
      </c>
      <c r="AR20" s="95" t="s">
        <v>98</v>
      </c>
      <c r="AS20" s="95" t="str">
        <f t="shared" si="10"/>
        <v>#VALUE!</v>
      </c>
      <c r="AT20" s="95" t="s">
        <v>98</v>
      </c>
      <c r="AU20" s="95" t="s">
        <v>98</v>
      </c>
      <c r="AV20" s="95" t="s">
        <v>98</v>
      </c>
      <c r="AW20" s="95" t="s">
        <v>98</v>
      </c>
      <c r="AX20" s="93" t="s">
        <v>113</v>
      </c>
      <c r="AY20" s="93" t="str">
        <f t="shared" si="11"/>
        <v>#REF!</v>
      </c>
      <c r="AZ20" s="95">
        <f t="shared" si="13"/>
        <v>46171</v>
      </c>
      <c r="BA20" s="95"/>
    </row>
    <row r="21" ht="30.75" customHeight="1">
      <c r="A21" s="93"/>
      <c r="B21" s="94" t="s">
        <v>82</v>
      </c>
      <c r="C21" s="94" t="s">
        <v>83</v>
      </c>
      <c r="D21" s="94">
        <v>15.0</v>
      </c>
      <c r="E21" s="93" t="s">
        <v>84</v>
      </c>
      <c r="F21" s="93" t="s">
        <v>195</v>
      </c>
      <c r="G21" s="93" t="s">
        <v>86</v>
      </c>
      <c r="H21" s="93" t="s">
        <v>196</v>
      </c>
      <c r="I21" s="93" t="s">
        <v>88</v>
      </c>
      <c r="J21" s="93" t="s">
        <v>191</v>
      </c>
      <c r="K21" s="93" t="s">
        <v>192</v>
      </c>
      <c r="L21" s="93" t="s">
        <v>197</v>
      </c>
      <c r="M21" s="93" t="s">
        <v>98</v>
      </c>
      <c r="N21" s="93" t="s">
        <v>98</v>
      </c>
      <c r="O21" s="93" t="s">
        <v>94</v>
      </c>
      <c r="P21" s="93">
        <v>12.0</v>
      </c>
      <c r="Q21" s="93">
        <v>1.0</v>
      </c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>
        <v>1.0</v>
      </c>
      <c r="AE21" s="93">
        <v>1.0</v>
      </c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 t="str">
        <f t="shared" si="9"/>
        <v>#REF!</v>
      </c>
      <c r="AQ21" s="95" t="s">
        <v>98</v>
      </c>
      <c r="AR21" s="95" t="s">
        <v>98</v>
      </c>
      <c r="AS21" s="95" t="str">
        <f t="shared" si="10"/>
        <v>#VALUE!</v>
      </c>
      <c r="AT21" s="95" t="s">
        <v>98</v>
      </c>
      <c r="AU21" s="95" t="s">
        <v>98</v>
      </c>
      <c r="AV21" s="95" t="s">
        <v>98</v>
      </c>
      <c r="AW21" s="95" t="s">
        <v>98</v>
      </c>
      <c r="AX21" s="93" t="s">
        <v>113</v>
      </c>
      <c r="AY21" s="93" t="str">
        <f t="shared" si="11"/>
        <v>#REF!</v>
      </c>
      <c r="AZ21" s="95">
        <f t="shared" si="13"/>
        <v>46171</v>
      </c>
      <c r="BA21" s="95"/>
    </row>
    <row r="22" ht="30.75" customHeight="1">
      <c r="A22" s="93"/>
      <c r="B22" s="94" t="s">
        <v>82</v>
      </c>
      <c r="C22" s="94" t="s">
        <v>83</v>
      </c>
      <c r="D22" s="93">
        <v>6.0</v>
      </c>
      <c r="E22" s="93" t="s">
        <v>84</v>
      </c>
      <c r="F22" s="93" t="s">
        <v>198</v>
      </c>
      <c r="G22" s="93" t="s">
        <v>86</v>
      </c>
      <c r="H22" s="93" t="s">
        <v>199</v>
      </c>
      <c r="I22" s="93" t="s">
        <v>88</v>
      </c>
      <c r="J22" s="93" t="s">
        <v>200</v>
      </c>
      <c r="K22" s="93" t="s">
        <v>201</v>
      </c>
      <c r="L22" s="93" t="s">
        <v>202</v>
      </c>
      <c r="M22" s="93" t="s">
        <v>203</v>
      </c>
      <c r="N22" s="93" t="s">
        <v>204</v>
      </c>
      <c r="O22" s="93" t="s">
        <v>94</v>
      </c>
      <c r="P22" s="93">
        <v>12.0</v>
      </c>
      <c r="Q22" s="93">
        <v>1.0</v>
      </c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>
        <v>1.0</v>
      </c>
      <c r="AC22" s="93">
        <v>1.0</v>
      </c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5" t="s">
        <v>95</v>
      </c>
      <c r="AR22" s="95" t="s">
        <v>95</v>
      </c>
      <c r="AS22" s="95" t="s">
        <v>96</v>
      </c>
      <c r="AT22" s="96" t="s">
        <v>205</v>
      </c>
      <c r="AU22" s="93" t="s">
        <v>98</v>
      </c>
      <c r="AV22" s="93" t="s">
        <v>98</v>
      </c>
      <c r="AW22" s="93" t="s">
        <v>98</v>
      </c>
      <c r="AX22" s="95" t="s">
        <v>99</v>
      </c>
      <c r="AY22" s="93" t="str">
        <f t="shared" si="11"/>
        <v>#REF!</v>
      </c>
      <c r="AZ22" s="95">
        <f t="shared" si="13"/>
        <v>46171</v>
      </c>
      <c r="BA22" s="95"/>
    </row>
    <row r="23" ht="30.75" customHeight="1">
      <c r="A23" s="93"/>
      <c r="B23" s="94"/>
      <c r="C23" s="93" t="s">
        <v>206</v>
      </c>
      <c r="D23" s="93">
        <v>1.0</v>
      </c>
      <c r="E23" s="93" t="s">
        <v>131</v>
      </c>
      <c r="F23" s="93" t="s">
        <v>98</v>
      </c>
      <c r="G23" s="93" t="s">
        <v>86</v>
      </c>
      <c r="H23" s="93" t="s">
        <v>207</v>
      </c>
      <c r="I23" s="93" t="s">
        <v>118</v>
      </c>
      <c r="J23" s="93" t="s">
        <v>208</v>
      </c>
      <c r="K23" s="93" t="s">
        <v>209</v>
      </c>
      <c r="L23" s="93" t="s">
        <v>210</v>
      </c>
      <c r="M23" s="93" t="s">
        <v>211</v>
      </c>
      <c r="N23" s="93" t="s">
        <v>212</v>
      </c>
      <c r="O23" s="93" t="s">
        <v>124</v>
      </c>
      <c r="P23" s="93">
        <v>4.0</v>
      </c>
      <c r="Q23" s="93" t="s">
        <v>98</v>
      </c>
      <c r="R23" s="93" t="s">
        <v>98</v>
      </c>
      <c r="S23" s="93" t="s">
        <v>98</v>
      </c>
      <c r="T23" s="93">
        <v>1.0</v>
      </c>
      <c r="U23" s="93" t="s">
        <v>98</v>
      </c>
      <c r="V23" s="93" t="s">
        <v>98</v>
      </c>
      <c r="W23" s="93" t="s">
        <v>98</v>
      </c>
      <c r="X23" s="93" t="s">
        <v>98</v>
      </c>
      <c r="Y23" s="93" t="s">
        <v>98</v>
      </c>
      <c r="Z23" s="93">
        <v>1.0</v>
      </c>
      <c r="AA23" s="93" t="s">
        <v>98</v>
      </c>
      <c r="AB23" s="93" t="s">
        <v>98</v>
      </c>
      <c r="AC23" s="93" t="s">
        <v>98</v>
      </c>
      <c r="AD23" s="93" t="s">
        <v>98</v>
      </c>
      <c r="AE23" s="93" t="s">
        <v>98</v>
      </c>
      <c r="AF23" s="93">
        <v>1.0</v>
      </c>
      <c r="AG23" s="93" t="s">
        <v>98</v>
      </c>
      <c r="AH23" s="93" t="s">
        <v>98</v>
      </c>
      <c r="AI23" s="93" t="s">
        <v>98</v>
      </c>
      <c r="AJ23" s="93" t="s">
        <v>98</v>
      </c>
      <c r="AK23" s="93" t="s">
        <v>98</v>
      </c>
      <c r="AL23" s="93">
        <v>1.0</v>
      </c>
      <c r="AM23" s="93" t="s">
        <v>98</v>
      </c>
      <c r="AN23" s="93" t="s">
        <v>98</v>
      </c>
      <c r="AO23" s="93" t="s">
        <v>98</v>
      </c>
      <c r="AP23" s="93" t="s">
        <v>213</v>
      </c>
      <c r="AQ23" s="93"/>
      <c r="AR23" s="93" t="s">
        <v>214</v>
      </c>
      <c r="AS23" s="93" t="s">
        <v>214</v>
      </c>
      <c r="AT23" s="93" t="e">
        <v>#VALUE!</v>
      </c>
      <c r="AU23" s="108" t="s">
        <v>98</v>
      </c>
      <c r="AV23" s="93" t="s">
        <v>98</v>
      </c>
      <c r="AW23" s="108"/>
      <c r="AX23" s="93" t="s">
        <v>99</v>
      </c>
      <c r="AY23" s="93">
        <v>0.0</v>
      </c>
      <c r="AZ23" s="95">
        <v>45370.0</v>
      </c>
      <c r="BA23" s="93"/>
    </row>
    <row r="24" ht="30.75" customHeight="1">
      <c r="A24" s="93"/>
      <c r="B24" s="94"/>
      <c r="C24" s="93" t="s">
        <v>206</v>
      </c>
      <c r="D24" s="93">
        <v>2.0</v>
      </c>
      <c r="E24" s="93" t="s">
        <v>131</v>
      </c>
      <c r="F24" s="93" t="s">
        <v>98</v>
      </c>
      <c r="G24" s="93" t="s">
        <v>86</v>
      </c>
      <c r="H24" s="93" t="s">
        <v>207</v>
      </c>
      <c r="I24" s="93" t="s">
        <v>118</v>
      </c>
      <c r="J24" s="93" t="s">
        <v>208</v>
      </c>
      <c r="K24" s="93" t="s">
        <v>209</v>
      </c>
      <c r="L24" s="93" t="s">
        <v>210</v>
      </c>
      <c r="M24" s="93" t="s">
        <v>215</v>
      </c>
      <c r="N24" s="93" t="s">
        <v>212</v>
      </c>
      <c r="O24" s="93" t="s">
        <v>124</v>
      </c>
      <c r="P24" s="93">
        <v>4.0</v>
      </c>
      <c r="Q24" s="93" t="s">
        <v>98</v>
      </c>
      <c r="R24" s="93" t="s">
        <v>98</v>
      </c>
      <c r="S24" s="93" t="s">
        <v>98</v>
      </c>
      <c r="T24" s="93">
        <v>1.0</v>
      </c>
      <c r="U24" s="93" t="s">
        <v>98</v>
      </c>
      <c r="V24" s="93" t="s">
        <v>98</v>
      </c>
      <c r="W24" s="93" t="s">
        <v>98</v>
      </c>
      <c r="X24" s="93" t="s">
        <v>98</v>
      </c>
      <c r="Y24" s="93" t="s">
        <v>98</v>
      </c>
      <c r="Z24" s="93">
        <v>1.0</v>
      </c>
      <c r="AA24" s="93" t="s">
        <v>98</v>
      </c>
      <c r="AB24" s="93" t="s">
        <v>98</v>
      </c>
      <c r="AC24" s="93" t="s">
        <v>98</v>
      </c>
      <c r="AD24" s="93" t="s">
        <v>98</v>
      </c>
      <c r="AE24" s="93" t="s">
        <v>98</v>
      </c>
      <c r="AF24" s="93">
        <v>1.0</v>
      </c>
      <c r="AG24" s="93" t="s">
        <v>98</v>
      </c>
      <c r="AH24" s="93" t="s">
        <v>98</v>
      </c>
      <c r="AI24" s="93" t="s">
        <v>98</v>
      </c>
      <c r="AJ24" s="93" t="s">
        <v>98</v>
      </c>
      <c r="AK24" s="93" t="s">
        <v>98</v>
      </c>
      <c r="AL24" s="93">
        <v>1.0</v>
      </c>
      <c r="AM24" s="93" t="s">
        <v>98</v>
      </c>
      <c r="AN24" s="93" t="s">
        <v>98</v>
      </c>
      <c r="AO24" s="93" t="s">
        <v>98</v>
      </c>
      <c r="AP24" s="93" t="s">
        <v>216</v>
      </c>
      <c r="AQ24" s="93"/>
      <c r="AR24" s="93" t="s">
        <v>214</v>
      </c>
      <c r="AS24" s="93" t="s">
        <v>214</v>
      </c>
      <c r="AT24" s="93" t="e">
        <v>#VALUE!</v>
      </c>
      <c r="AU24" s="108" t="s">
        <v>98</v>
      </c>
      <c r="AV24" s="93" t="s">
        <v>98</v>
      </c>
      <c r="AW24" s="108"/>
      <c r="AX24" s="93" t="s">
        <v>99</v>
      </c>
      <c r="AY24" s="93">
        <v>0.0</v>
      </c>
      <c r="AZ24" s="95">
        <v>45370.0</v>
      </c>
      <c r="BA24" s="93"/>
    </row>
    <row r="25" ht="30.75" customHeight="1">
      <c r="A25" s="93"/>
      <c r="B25" s="94"/>
      <c r="C25" s="93" t="s">
        <v>206</v>
      </c>
      <c r="D25" s="93">
        <v>3.0</v>
      </c>
      <c r="E25" s="93" t="s">
        <v>131</v>
      </c>
      <c r="F25" s="93" t="s">
        <v>98</v>
      </c>
      <c r="G25" s="93" t="s">
        <v>86</v>
      </c>
      <c r="H25" s="93" t="s">
        <v>207</v>
      </c>
      <c r="I25" s="93" t="s">
        <v>118</v>
      </c>
      <c r="J25" s="93" t="s">
        <v>208</v>
      </c>
      <c r="K25" s="93" t="s">
        <v>209</v>
      </c>
      <c r="L25" s="93" t="s">
        <v>210</v>
      </c>
      <c r="M25" s="93" t="s">
        <v>217</v>
      </c>
      <c r="N25" s="93" t="s">
        <v>212</v>
      </c>
      <c r="O25" s="93" t="s">
        <v>124</v>
      </c>
      <c r="P25" s="93">
        <v>4.0</v>
      </c>
      <c r="Q25" s="93" t="s">
        <v>98</v>
      </c>
      <c r="R25" s="93" t="s">
        <v>98</v>
      </c>
      <c r="S25" s="93" t="s">
        <v>98</v>
      </c>
      <c r="T25" s="93">
        <v>1.0</v>
      </c>
      <c r="U25" s="93" t="s">
        <v>98</v>
      </c>
      <c r="V25" s="93" t="s">
        <v>98</v>
      </c>
      <c r="W25" s="93" t="s">
        <v>98</v>
      </c>
      <c r="X25" s="93" t="s">
        <v>98</v>
      </c>
      <c r="Y25" s="93" t="s">
        <v>98</v>
      </c>
      <c r="Z25" s="93">
        <v>1.0</v>
      </c>
      <c r="AA25" s="93" t="s">
        <v>98</v>
      </c>
      <c r="AB25" s="93" t="s">
        <v>98</v>
      </c>
      <c r="AC25" s="93" t="s">
        <v>98</v>
      </c>
      <c r="AD25" s="93" t="s">
        <v>98</v>
      </c>
      <c r="AE25" s="93" t="s">
        <v>98</v>
      </c>
      <c r="AF25" s="93">
        <v>1.0</v>
      </c>
      <c r="AG25" s="93" t="s">
        <v>98</v>
      </c>
      <c r="AH25" s="93" t="s">
        <v>98</v>
      </c>
      <c r="AI25" s="93" t="s">
        <v>98</v>
      </c>
      <c r="AJ25" s="93" t="s">
        <v>98</v>
      </c>
      <c r="AK25" s="93" t="s">
        <v>98</v>
      </c>
      <c r="AL25" s="93">
        <v>1.0</v>
      </c>
      <c r="AM25" s="93" t="s">
        <v>98</v>
      </c>
      <c r="AN25" s="93" t="s">
        <v>98</v>
      </c>
      <c r="AO25" s="93" t="s">
        <v>98</v>
      </c>
      <c r="AP25" s="93" t="s">
        <v>218</v>
      </c>
      <c r="AQ25" s="93"/>
      <c r="AR25" s="93" t="s">
        <v>214</v>
      </c>
      <c r="AS25" s="93" t="s">
        <v>214</v>
      </c>
      <c r="AT25" s="93" t="e">
        <v>#VALUE!</v>
      </c>
      <c r="AU25" s="108" t="s">
        <v>98</v>
      </c>
      <c r="AV25" s="93" t="s">
        <v>98</v>
      </c>
      <c r="AW25" s="108"/>
      <c r="AX25" s="93" t="s">
        <v>99</v>
      </c>
      <c r="AY25" s="93">
        <v>0.0</v>
      </c>
      <c r="AZ25" s="95">
        <v>45370.0</v>
      </c>
      <c r="BA25" s="93"/>
    </row>
    <row r="26" ht="30.75" customHeight="1">
      <c r="A26" s="93"/>
      <c r="B26" s="94"/>
      <c r="C26" s="93" t="s">
        <v>206</v>
      </c>
      <c r="D26" s="93">
        <v>4.0</v>
      </c>
      <c r="E26" s="93" t="s">
        <v>131</v>
      </c>
      <c r="F26" s="93" t="s">
        <v>98</v>
      </c>
      <c r="G26" s="93" t="s">
        <v>86</v>
      </c>
      <c r="H26" s="93" t="s">
        <v>207</v>
      </c>
      <c r="I26" s="93" t="s">
        <v>88</v>
      </c>
      <c r="J26" s="93" t="s">
        <v>219</v>
      </c>
      <c r="K26" s="93" t="s">
        <v>220</v>
      </c>
      <c r="L26" s="93" t="s">
        <v>221</v>
      </c>
      <c r="M26" s="109" t="s">
        <v>222</v>
      </c>
      <c r="N26" s="93" t="s">
        <v>223</v>
      </c>
      <c r="O26" s="93" t="s">
        <v>124</v>
      </c>
      <c r="P26" s="93">
        <v>4.0</v>
      </c>
      <c r="Q26" s="93" t="s">
        <v>98</v>
      </c>
      <c r="R26" s="93" t="s">
        <v>98</v>
      </c>
      <c r="S26" s="93" t="s">
        <v>98</v>
      </c>
      <c r="T26" s="93" t="s">
        <v>98</v>
      </c>
      <c r="U26" s="93" t="s">
        <v>98</v>
      </c>
      <c r="V26" s="93">
        <v>1.0</v>
      </c>
      <c r="W26" s="93" t="s">
        <v>98</v>
      </c>
      <c r="X26" s="93" t="s">
        <v>98</v>
      </c>
      <c r="Y26" s="93" t="s">
        <v>98</v>
      </c>
      <c r="Z26" s="93" t="s">
        <v>98</v>
      </c>
      <c r="AA26" s="93" t="s">
        <v>98</v>
      </c>
      <c r="AB26" s="93">
        <v>1.0</v>
      </c>
      <c r="AC26" s="93" t="s">
        <v>98</v>
      </c>
      <c r="AD26" s="93" t="s">
        <v>98</v>
      </c>
      <c r="AE26" s="93" t="s">
        <v>98</v>
      </c>
      <c r="AF26" s="93" t="s">
        <v>98</v>
      </c>
      <c r="AG26" s="93" t="s">
        <v>98</v>
      </c>
      <c r="AH26" s="93">
        <v>1.0</v>
      </c>
      <c r="AI26" s="93" t="s">
        <v>98</v>
      </c>
      <c r="AJ26" s="93" t="s">
        <v>98</v>
      </c>
      <c r="AK26" s="93" t="s">
        <v>98</v>
      </c>
      <c r="AL26" s="93" t="s">
        <v>98</v>
      </c>
      <c r="AM26" s="93" t="s">
        <v>98</v>
      </c>
      <c r="AN26" s="93">
        <v>1.0</v>
      </c>
      <c r="AO26" s="93" t="s">
        <v>98</v>
      </c>
      <c r="AP26" s="93" t="s">
        <v>224</v>
      </c>
      <c r="AQ26" s="93"/>
      <c r="AR26" s="93" t="s">
        <v>214</v>
      </c>
      <c r="AS26" s="93" t="s">
        <v>214</v>
      </c>
      <c r="AT26" s="93" t="e">
        <v>#VALUE!</v>
      </c>
      <c r="AU26" s="108" t="s">
        <v>98</v>
      </c>
      <c r="AV26" s="93" t="s">
        <v>98</v>
      </c>
      <c r="AW26" s="108"/>
      <c r="AX26" s="93" t="s">
        <v>99</v>
      </c>
      <c r="AY26" s="93">
        <v>0.0</v>
      </c>
      <c r="AZ26" s="95">
        <v>45370.0</v>
      </c>
      <c r="BA26" s="93"/>
    </row>
    <row r="27" ht="30.75" customHeight="1">
      <c r="A27" s="93"/>
      <c r="B27" s="94"/>
      <c r="C27" s="93" t="s">
        <v>206</v>
      </c>
      <c r="D27" s="93">
        <v>5.0</v>
      </c>
      <c r="E27" s="93" t="s">
        <v>131</v>
      </c>
      <c r="F27" s="93" t="s">
        <v>98</v>
      </c>
      <c r="G27" s="93" t="s">
        <v>86</v>
      </c>
      <c r="H27" s="93" t="s">
        <v>207</v>
      </c>
      <c r="I27" s="93" t="s">
        <v>88</v>
      </c>
      <c r="J27" s="93" t="s">
        <v>219</v>
      </c>
      <c r="K27" s="93" t="s">
        <v>220</v>
      </c>
      <c r="L27" s="93" t="s">
        <v>221</v>
      </c>
      <c r="M27" s="109" t="s">
        <v>225</v>
      </c>
      <c r="N27" s="93" t="s">
        <v>223</v>
      </c>
      <c r="O27" s="93" t="s">
        <v>124</v>
      </c>
      <c r="P27" s="93">
        <v>4.0</v>
      </c>
      <c r="Q27" s="93" t="s">
        <v>98</v>
      </c>
      <c r="R27" s="93">
        <v>1.0</v>
      </c>
      <c r="S27" s="93" t="s">
        <v>98</v>
      </c>
      <c r="T27" s="93" t="s">
        <v>98</v>
      </c>
      <c r="U27" s="93" t="s">
        <v>98</v>
      </c>
      <c r="V27" s="93" t="s">
        <v>98</v>
      </c>
      <c r="W27" s="93" t="s">
        <v>98</v>
      </c>
      <c r="X27" s="93">
        <v>1.0</v>
      </c>
      <c r="Y27" s="93" t="s">
        <v>98</v>
      </c>
      <c r="Z27" s="93" t="s">
        <v>98</v>
      </c>
      <c r="AA27" s="93" t="s">
        <v>98</v>
      </c>
      <c r="AB27" s="93" t="s">
        <v>98</v>
      </c>
      <c r="AC27" s="93" t="s">
        <v>98</v>
      </c>
      <c r="AD27" s="93">
        <v>1.0</v>
      </c>
      <c r="AE27" s="93" t="s">
        <v>98</v>
      </c>
      <c r="AF27" s="93" t="s">
        <v>98</v>
      </c>
      <c r="AG27" s="93" t="s">
        <v>98</v>
      </c>
      <c r="AH27" s="93" t="s">
        <v>98</v>
      </c>
      <c r="AI27" s="93" t="s">
        <v>98</v>
      </c>
      <c r="AJ27" s="93">
        <v>1.0</v>
      </c>
      <c r="AK27" s="93" t="s">
        <v>98</v>
      </c>
      <c r="AL27" s="93" t="s">
        <v>98</v>
      </c>
      <c r="AM27" s="93" t="s">
        <v>98</v>
      </c>
      <c r="AN27" s="93" t="s">
        <v>98</v>
      </c>
      <c r="AO27" s="93" t="s">
        <v>98</v>
      </c>
      <c r="AP27" s="93" t="s">
        <v>226</v>
      </c>
      <c r="AQ27" s="93"/>
      <c r="AR27" s="93" t="s">
        <v>214</v>
      </c>
      <c r="AS27" s="93" t="s">
        <v>214</v>
      </c>
      <c r="AT27" s="93" t="e">
        <v>#VALUE!</v>
      </c>
      <c r="AU27" s="108" t="s">
        <v>98</v>
      </c>
      <c r="AV27" s="93" t="s">
        <v>98</v>
      </c>
      <c r="AW27" s="108"/>
      <c r="AX27" s="93" t="s">
        <v>99</v>
      </c>
      <c r="AY27" s="93">
        <v>0.0</v>
      </c>
      <c r="AZ27" s="95">
        <v>45370.0</v>
      </c>
      <c r="BA27" s="93"/>
    </row>
    <row r="28" ht="30.75" customHeight="1">
      <c r="A28" s="93"/>
      <c r="B28" s="94"/>
      <c r="C28" s="93" t="s">
        <v>206</v>
      </c>
      <c r="D28" s="93">
        <v>6.0</v>
      </c>
      <c r="E28" s="93" t="s">
        <v>131</v>
      </c>
      <c r="F28" s="93" t="s">
        <v>98</v>
      </c>
      <c r="G28" s="93" t="s">
        <v>86</v>
      </c>
      <c r="H28" s="93" t="s">
        <v>207</v>
      </c>
      <c r="I28" s="93" t="s">
        <v>118</v>
      </c>
      <c r="J28" s="93" t="s">
        <v>219</v>
      </c>
      <c r="K28" s="93" t="s">
        <v>220</v>
      </c>
      <c r="L28" s="93" t="s">
        <v>227</v>
      </c>
      <c r="M28" s="109">
        <v>97308.0</v>
      </c>
      <c r="N28" s="93" t="s">
        <v>223</v>
      </c>
      <c r="O28" s="93" t="s">
        <v>124</v>
      </c>
      <c r="P28" s="93">
        <v>2.0</v>
      </c>
      <c r="Q28" s="93" t="s">
        <v>98</v>
      </c>
      <c r="R28" s="93">
        <v>1.0</v>
      </c>
      <c r="S28" s="93" t="s">
        <v>98</v>
      </c>
      <c r="T28" s="93" t="s">
        <v>98</v>
      </c>
      <c r="U28" s="93" t="s">
        <v>98</v>
      </c>
      <c r="V28" s="93" t="s">
        <v>98</v>
      </c>
      <c r="W28" s="93" t="s">
        <v>98</v>
      </c>
      <c r="X28" s="93" t="s">
        <v>98</v>
      </c>
      <c r="Y28" s="93" t="s">
        <v>98</v>
      </c>
      <c r="Z28" s="93">
        <v>1.0</v>
      </c>
      <c r="AA28" s="93" t="s">
        <v>98</v>
      </c>
      <c r="AB28" s="93" t="s">
        <v>98</v>
      </c>
      <c r="AC28" s="93" t="s">
        <v>98</v>
      </c>
      <c r="AD28" s="93">
        <v>1.0</v>
      </c>
      <c r="AE28" s="93" t="s">
        <v>98</v>
      </c>
      <c r="AF28" s="93" t="s">
        <v>98</v>
      </c>
      <c r="AG28" s="93" t="s">
        <v>98</v>
      </c>
      <c r="AH28" s="93" t="s">
        <v>98</v>
      </c>
      <c r="AI28" s="93" t="s">
        <v>98</v>
      </c>
      <c r="AJ28" s="93" t="s">
        <v>98</v>
      </c>
      <c r="AK28" s="93" t="s">
        <v>98</v>
      </c>
      <c r="AL28" s="93">
        <v>1.0</v>
      </c>
      <c r="AM28" s="93" t="s">
        <v>98</v>
      </c>
      <c r="AN28" s="93" t="s">
        <v>98</v>
      </c>
      <c r="AO28" s="93" t="s">
        <v>98</v>
      </c>
      <c r="AP28" s="93" t="s">
        <v>228</v>
      </c>
      <c r="AQ28" s="93"/>
      <c r="AR28" s="93" t="s">
        <v>214</v>
      </c>
      <c r="AS28" s="93" t="s">
        <v>214</v>
      </c>
      <c r="AT28" s="93" t="e">
        <v>#VALUE!</v>
      </c>
      <c r="AU28" s="108" t="s">
        <v>98</v>
      </c>
      <c r="AV28" s="93" t="s">
        <v>98</v>
      </c>
      <c r="AW28" s="108"/>
      <c r="AX28" s="93" t="s">
        <v>99</v>
      </c>
      <c r="AY28" s="93">
        <v>0.0</v>
      </c>
      <c r="AZ28" s="95">
        <v>45370.0</v>
      </c>
      <c r="BA28" s="93"/>
    </row>
    <row r="29" ht="30.75" customHeight="1">
      <c r="A29" s="93"/>
      <c r="B29" s="94"/>
      <c r="C29" s="93" t="s">
        <v>206</v>
      </c>
      <c r="D29" s="93">
        <v>7.0</v>
      </c>
      <c r="E29" s="93" t="s">
        <v>131</v>
      </c>
      <c r="F29" s="93" t="s">
        <v>98</v>
      </c>
      <c r="G29" s="93" t="s">
        <v>86</v>
      </c>
      <c r="H29" s="93" t="s">
        <v>207</v>
      </c>
      <c r="I29" s="93" t="s">
        <v>118</v>
      </c>
      <c r="J29" s="93" t="s">
        <v>219</v>
      </c>
      <c r="K29" s="93" t="s">
        <v>220</v>
      </c>
      <c r="L29" s="93" t="s">
        <v>227</v>
      </c>
      <c r="M29" s="109">
        <v>102817.0</v>
      </c>
      <c r="N29" s="93" t="s">
        <v>223</v>
      </c>
      <c r="O29" s="93" t="s">
        <v>124</v>
      </c>
      <c r="P29" s="93">
        <v>2.0</v>
      </c>
      <c r="Q29" s="93" t="s">
        <v>98</v>
      </c>
      <c r="R29" s="93">
        <v>1.0</v>
      </c>
      <c r="S29" s="93" t="s">
        <v>98</v>
      </c>
      <c r="T29" s="93" t="s">
        <v>98</v>
      </c>
      <c r="U29" s="93" t="s">
        <v>98</v>
      </c>
      <c r="V29" s="93" t="s">
        <v>98</v>
      </c>
      <c r="W29" s="93" t="s">
        <v>98</v>
      </c>
      <c r="X29" s="93" t="s">
        <v>98</v>
      </c>
      <c r="Y29" s="93" t="s">
        <v>98</v>
      </c>
      <c r="Z29" s="93" t="s">
        <v>98</v>
      </c>
      <c r="AA29" s="93" t="s">
        <v>98</v>
      </c>
      <c r="AB29" s="93" t="s">
        <v>98</v>
      </c>
      <c r="AC29" s="93" t="s">
        <v>98</v>
      </c>
      <c r="AD29" s="93">
        <v>1.0</v>
      </c>
      <c r="AE29" s="93" t="s">
        <v>98</v>
      </c>
      <c r="AF29" s="93" t="s">
        <v>98</v>
      </c>
      <c r="AG29" s="93" t="s">
        <v>98</v>
      </c>
      <c r="AH29" s="93" t="s">
        <v>98</v>
      </c>
      <c r="AI29" s="93" t="s">
        <v>98</v>
      </c>
      <c r="AJ29" s="93" t="s">
        <v>98</v>
      </c>
      <c r="AK29" s="93" t="s">
        <v>98</v>
      </c>
      <c r="AL29" s="93" t="s">
        <v>98</v>
      </c>
      <c r="AM29" s="93" t="s">
        <v>98</v>
      </c>
      <c r="AN29" s="93" t="s">
        <v>98</v>
      </c>
      <c r="AO29" s="93" t="s">
        <v>98</v>
      </c>
      <c r="AP29" s="93" t="s">
        <v>229</v>
      </c>
      <c r="AQ29" s="93"/>
      <c r="AR29" s="93" t="s">
        <v>214</v>
      </c>
      <c r="AS29" s="93" t="s">
        <v>214</v>
      </c>
      <c r="AT29" s="93" t="e">
        <v>#VALUE!</v>
      </c>
      <c r="AU29" s="108" t="s">
        <v>98</v>
      </c>
      <c r="AV29" s="93" t="s">
        <v>98</v>
      </c>
      <c r="AW29" s="108"/>
      <c r="AX29" s="93" t="s">
        <v>99</v>
      </c>
      <c r="AY29" s="93">
        <v>0.0</v>
      </c>
      <c r="AZ29" s="95">
        <v>45370.0</v>
      </c>
      <c r="BA29" s="93"/>
    </row>
    <row r="30" ht="30.75" customHeight="1">
      <c r="A30" s="93"/>
      <c r="B30" s="94"/>
      <c r="C30" s="93" t="s">
        <v>206</v>
      </c>
      <c r="D30" s="93">
        <v>8.0</v>
      </c>
      <c r="E30" s="93" t="s">
        <v>131</v>
      </c>
      <c r="F30" s="93" t="s">
        <v>98</v>
      </c>
      <c r="G30" s="93" t="s">
        <v>86</v>
      </c>
      <c r="H30" s="93" t="s">
        <v>207</v>
      </c>
      <c r="I30" s="93" t="s">
        <v>118</v>
      </c>
      <c r="J30" s="93" t="s">
        <v>219</v>
      </c>
      <c r="K30" s="93" t="s">
        <v>220</v>
      </c>
      <c r="L30" s="93" t="s">
        <v>227</v>
      </c>
      <c r="M30" s="109">
        <v>102848.0</v>
      </c>
      <c r="N30" s="93" t="s">
        <v>223</v>
      </c>
      <c r="O30" s="93" t="s">
        <v>124</v>
      </c>
      <c r="P30" s="93">
        <v>2.0</v>
      </c>
      <c r="Q30" s="93" t="s">
        <v>98</v>
      </c>
      <c r="R30" s="93">
        <v>1.0</v>
      </c>
      <c r="S30" s="93" t="s">
        <v>98</v>
      </c>
      <c r="T30" s="93" t="s">
        <v>98</v>
      </c>
      <c r="U30" s="93" t="s">
        <v>98</v>
      </c>
      <c r="V30" s="93" t="s">
        <v>98</v>
      </c>
      <c r="W30" s="93" t="s">
        <v>98</v>
      </c>
      <c r="X30" s="93" t="s">
        <v>98</v>
      </c>
      <c r="Y30" s="93" t="s">
        <v>98</v>
      </c>
      <c r="Z30" s="93" t="s">
        <v>98</v>
      </c>
      <c r="AA30" s="93" t="s">
        <v>98</v>
      </c>
      <c r="AB30" s="93" t="s">
        <v>98</v>
      </c>
      <c r="AC30" s="93" t="s">
        <v>98</v>
      </c>
      <c r="AD30" s="93">
        <v>1.0</v>
      </c>
      <c r="AE30" s="93" t="s">
        <v>98</v>
      </c>
      <c r="AF30" s="93" t="s">
        <v>98</v>
      </c>
      <c r="AG30" s="93" t="s">
        <v>98</v>
      </c>
      <c r="AH30" s="93" t="s">
        <v>98</v>
      </c>
      <c r="AI30" s="93" t="s">
        <v>98</v>
      </c>
      <c r="AJ30" s="93" t="s">
        <v>98</v>
      </c>
      <c r="AK30" s="93" t="s">
        <v>98</v>
      </c>
      <c r="AL30" s="93" t="s">
        <v>98</v>
      </c>
      <c r="AM30" s="93" t="s">
        <v>98</v>
      </c>
      <c r="AN30" s="93" t="s">
        <v>98</v>
      </c>
      <c r="AO30" s="93" t="s">
        <v>98</v>
      </c>
      <c r="AP30" s="93" t="s">
        <v>230</v>
      </c>
      <c r="AQ30" s="93"/>
      <c r="AR30" s="93" t="s">
        <v>214</v>
      </c>
      <c r="AS30" s="93" t="s">
        <v>214</v>
      </c>
      <c r="AT30" s="93" t="e">
        <v>#VALUE!</v>
      </c>
      <c r="AU30" s="108" t="s">
        <v>98</v>
      </c>
      <c r="AV30" s="93" t="s">
        <v>98</v>
      </c>
      <c r="AW30" s="108"/>
      <c r="AX30" s="93" t="s">
        <v>99</v>
      </c>
      <c r="AY30" s="93">
        <v>0.0</v>
      </c>
      <c r="AZ30" s="95">
        <v>45370.0</v>
      </c>
      <c r="BA30" s="93"/>
    </row>
    <row r="31" ht="30.75" customHeight="1">
      <c r="A31" s="93"/>
      <c r="B31" s="94"/>
      <c r="C31" s="93" t="s">
        <v>206</v>
      </c>
      <c r="D31" s="93">
        <v>9.0</v>
      </c>
      <c r="E31" s="93" t="s">
        <v>131</v>
      </c>
      <c r="F31" s="93" t="s">
        <v>98</v>
      </c>
      <c r="G31" s="93" t="s">
        <v>86</v>
      </c>
      <c r="H31" s="93" t="s">
        <v>207</v>
      </c>
      <c r="I31" s="93" t="s">
        <v>88</v>
      </c>
      <c r="J31" s="93" t="s">
        <v>231</v>
      </c>
      <c r="K31" s="93" t="s">
        <v>220</v>
      </c>
      <c r="L31" s="93" t="s">
        <v>232</v>
      </c>
      <c r="M31" s="93" t="s">
        <v>233</v>
      </c>
      <c r="N31" s="93" t="s">
        <v>223</v>
      </c>
      <c r="O31" s="93" t="s">
        <v>124</v>
      </c>
      <c r="P31" s="93">
        <v>2.0</v>
      </c>
      <c r="Q31" s="93" t="s">
        <v>98</v>
      </c>
      <c r="R31" s="93" t="s">
        <v>98</v>
      </c>
      <c r="S31" s="93" t="s">
        <v>98</v>
      </c>
      <c r="T31" s="93" t="s">
        <v>98</v>
      </c>
      <c r="U31" s="93" t="s">
        <v>98</v>
      </c>
      <c r="V31" s="93" t="s">
        <v>98</v>
      </c>
      <c r="W31" s="93" t="s">
        <v>98</v>
      </c>
      <c r="X31" s="93" t="s">
        <v>98</v>
      </c>
      <c r="Y31" s="93" t="s">
        <v>98</v>
      </c>
      <c r="Z31" s="93" t="s">
        <v>98</v>
      </c>
      <c r="AA31" s="93" t="s">
        <v>98</v>
      </c>
      <c r="AB31" s="93">
        <v>1.0</v>
      </c>
      <c r="AC31" s="93" t="s">
        <v>98</v>
      </c>
      <c r="AD31" s="93" t="s">
        <v>98</v>
      </c>
      <c r="AE31" s="93" t="s">
        <v>98</v>
      </c>
      <c r="AF31" s="93" t="s">
        <v>98</v>
      </c>
      <c r="AG31" s="93" t="s">
        <v>98</v>
      </c>
      <c r="AH31" s="93" t="s">
        <v>98</v>
      </c>
      <c r="AI31" s="93" t="s">
        <v>98</v>
      </c>
      <c r="AJ31" s="93" t="s">
        <v>98</v>
      </c>
      <c r="AK31" s="93" t="s">
        <v>98</v>
      </c>
      <c r="AL31" s="93" t="s">
        <v>98</v>
      </c>
      <c r="AM31" s="93" t="s">
        <v>98</v>
      </c>
      <c r="AN31" s="93">
        <v>1.0</v>
      </c>
      <c r="AO31" s="93" t="s">
        <v>98</v>
      </c>
      <c r="AP31" s="93" t="s">
        <v>234</v>
      </c>
      <c r="AQ31" s="93"/>
      <c r="AR31" s="93" t="s">
        <v>214</v>
      </c>
      <c r="AS31" s="93" t="s">
        <v>214</v>
      </c>
      <c r="AT31" s="93" t="e">
        <v>#VALUE!</v>
      </c>
      <c r="AU31" s="108" t="s">
        <v>98</v>
      </c>
      <c r="AV31" s="93" t="s">
        <v>98</v>
      </c>
      <c r="AW31" s="108"/>
      <c r="AX31" s="93" t="s">
        <v>99</v>
      </c>
      <c r="AY31" s="93">
        <v>0.0</v>
      </c>
      <c r="AZ31" s="95">
        <v>45370.0</v>
      </c>
      <c r="BA31" s="93"/>
    </row>
    <row r="32" ht="30.75" customHeight="1">
      <c r="A32" s="93"/>
      <c r="B32" s="94"/>
      <c r="C32" s="93" t="s">
        <v>206</v>
      </c>
      <c r="D32" s="93">
        <v>10.0</v>
      </c>
      <c r="E32" s="93" t="s">
        <v>131</v>
      </c>
      <c r="F32" s="93" t="s">
        <v>98</v>
      </c>
      <c r="G32" s="93" t="s">
        <v>86</v>
      </c>
      <c r="H32" s="93" t="s">
        <v>207</v>
      </c>
      <c r="I32" s="93" t="s">
        <v>118</v>
      </c>
      <c r="J32" s="93" t="s">
        <v>235</v>
      </c>
      <c r="K32" s="93" t="s">
        <v>220</v>
      </c>
      <c r="L32" s="93" t="s">
        <v>236</v>
      </c>
      <c r="M32" s="109">
        <v>55916.0</v>
      </c>
      <c r="N32" s="93" t="s">
        <v>223</v>
      </c>
      <c r="O32" s="93" t="s">
        <v>124</v>
      </c>
      <c r="P32" s="93">
        <v>2.0</v>
      </c>
      <c r="Q32" s="93" t="s">
        <v>98</v>
      </c>
      <c r="R32" s="93" t="s">
        <v>98</v>
      </c>
      <c r="S32" s="93" t="s">
        <v>98</v>
      </c>
      <c r="T32" s="93" t="s">
        <v>98</v>
      </c>
      <c r="U32" s="93" t="s">
        <v>98</v>
      </c>
      <c r="V32" s="93" t="s">
        <v>98</v>
      </c>
      <c r="W32" s="93" t="s">
        <v>98</v>
      </c>
      <c r="X32" s="93" t="s">
        <v>98</v>
      </c>
      <c r="Y32" s="93" t="s">
        <v>98</v>
      </c>
      <c r="Z32" s="93">
        <v>1.0</v>
      </c>
      <c r="AA32" s="93" t="s">
        <v>98</v>
      </c>
      <c r="AB32" s="93" t="s">
        <v>98</v>
      </c>
      <c r="AC32" s="93" t="s">
        <v>98</v>
      </c>
      <c r="AD32" s="93" t="s">
        <v>98</v>
      </c>
      <c r="AE32" s="93" t="s">
        <v>98</v>
      </c>
      <c r="AF32" s="93" t="s">
        <v>98</v>
      </c>
      <c r="AG32" s="93" t="s">
        <v>98</v>
      </c>
      <c r="AH32" s="93" t="s">
        <v>98</v>
      </c>
      <c r="AI32" s="93" t="s">
        <v>98</v>
      </c>
      <c r="AJ32" s="93" t="s">
        <v>98</v>
      </c>
      <c r="AK32" s="93" t="s">
        <v>98</v>
      </c>
      <c r="AL32" s="93">
        <v>1.0</v>
      </c>
      <c r="AM32" s="93" t="s">
        <v>98</v>
      </c>
      <c r="AN32" s="93" t="s">
        <v>98</v>
      </c>
      <c r="AO32" s="93" t="s">
        <v>98</v>
      </c>
      <c r="AP32" s="93" t="s">
        <v>237</v>
      </c>
      <c r="AQ32" s="93"/>
      <c r="AR32" s="93" t="s">
        <v>214</v>
      </c>
      <c r="AS32" s="93" t="s">
        <v>214</v>
      </c>
      <c r="AT32" s="93" t="e">
        <v>#VALUE!</v>
      </c>
      <c r="AU32" s="108" t="s">
        <v>98</v>
      </c>
      <c r="AV32" s="93" t="s">
        <v>98</v>
      </c>
      <c r="AW32" s="108"/>
      <c r="AX32" s="93" t="s">
        <v>99</v>
      </c>
      <c r="AY32" s="93">
        <v>0.0</v>
      </c>
      <c r="AZ32" s="95">
        <v>45370.0</v>
      </c>
      <c r="BA32" s="93"/>
    </row>
    <row r="33" ht="30.75" customHeight="1">
      <c r="A33" s="93"/>
      <c r="B33" s="94"/>
      <c r="C33" s="93" t="s">
        <v>206</v>
      </c>
      <c r="D33" s="93">
        <v>11.0</v>
      </c>
      <c r="E33" s="93" t="s">
        <v>131</v>
      </c>
      <c r="F33" s="93" t="s">
        <v>98</v>
      </c>
      <c r="G33" s="93" t="s">
        <v>86</v>
      </c>
      <c r="H33" s="93" t="s">
        <v>238</v>
      </c>
      <c r="I33" s="93" t="s">
        <v>118</v>
      </c>
      <c r="J33" s="93" t="s">
        <v>239</v>
      </c>
      <c r="K33" s="93" t="s">
        <v>240</v>
      </c>
      <c r="L33" s="93" t="s">
        <v>241</v>
      </c>
      <c r="M33" s="93" t="s">
        <v>242</v>
      </c>
      <c r="N33" s="93" t="s">
        <v>243</v>
      </c>
      <c r="O33" s="93" t="s">
        <v>124</v>
      </c>
      <c r="P33" s="93">
        <v>4.0</v>
      </c>
      <c r="Q33" s="93" t="s">
        <v>98</v>
      </c>
      <c r="R33" s="93" t="s">
        <v>98</v>
      </c>
      <c r="S33" s="93" t="s">
        <v>98</v>
      </c>
      <c r="T33" s="93" t="s">
        <v>98</v>
      </c>
      <c r="U33" s="93" t="s">
        <v>98</v>
      </c>
      <c r="V33" s="93">
        <v>1.0</v>
      </c>
      <c r="W33" s="93" t="s">
        <v>98</v>
      </c>
      <c r="X33" s="93" t="s">
        <v>98</v>
      </c>
      <c r="Y33" s="93" t="s">
        <v>98</v>
      </c>
      <c r="Z33" s="93" t="s">
        <v>98</v>
      </c>
      <c r="AA33" s="93" t="s">
        <v>98</v>
      </c>
      <c r="AB33" s="93">
        <v>1.0</v>
      </c>
      <c r="AC33" s="93" t="s">
        <v>98</v>
      </c>
      <c r="AD33" s="93" t="s">
        <v>98</v>
      </c>
      <c r="AE33" s="93" t="s">
        <v>98</v>
      </c>
      <c r="AF33" s="93" t="s">
        <v>98</v>
      </c>
      <c r="AG33" s="93" t="s">
        <v>98</v>
      </c>
      <c r="AH33" s="93">
        <v>1.0</v>
      </c>
      <c r="AI33" s="93" t="s">
        <v>98</v>
      </c>
      <c r="AJ33" s="93" t="s">
        <v>98</v>
      </c>
      <c r="AK33" s="93" t="s">
        <v>98</v>
      </c>
      <c r="AL33" s="93" t="s">
        <v>98</v>
      </c>
      <c r="AM33" s="93" t="s">
        <v>98</v>
      </c>
      <c r="AN33" s="93">
        <v>1.0</v>
      </c>
      <c r="AO33" s="93" t="s">
        <v>98</v>
      </c>
      <c r="AP33" s="93" t="s">
        <v>241</v>
      </c>
      <c r="AQ33" s="93"/>
      <c r="AR33" s="93" t="s">
        <v>214</v>
      </c>
      <c r="AS33" s="93" t="s">
        <v>214</v>
      </c>
      <c r="AT33" s="93" t="e">
        <v>#VALUE!</v>
      </c>
      <c r="AU33" s="108" t="s">
        <v>98</v>
      </c>
      <c r="AV33" s="93" t="s">
        <v>98</v>
      </c>
      <c r="AW33" s="108"/>
      <c r="AX33" s="93" t="s">
        <v>99</v>
      </c>
      <c r="AY33" s="93">
        <v>0.0</v>
      </c>
      <c r="AZ33" s="95">
        <v>45370.0</v>
      </c>
      <c r="BA33" s="93"/>
    </row>
    <row r="34" ht="30.75" customHeight="1">
      <c r="A34" s="93"/>
      <c r="B34" s="94"/>
      <c r="C34" s="93" t="s">
        <v>206</v>
      </c>
      <c r="D34" s="93">
        <v>12.0</v>
      </c>
      <c r="E34" s="93" t="s">
        <v>131</v>
      </c>
      <c r="F34" s="93" t="s">
        <v>98</v>
      </c>
      <c r="G34" s="93" t="s">
        <v>86</v>
      </c>
      <c r="H34" s="93" t="s">
        <v>207</v>
      </c>
      <c r="I34" s="93" t="s">
        <v>118</v>
      </c>
      <c r="J34" s="93" t="s">
        <v>239</v>
      </c>
      <c r="K34" s="93" t="s">
        <v>244</v>
      </c>
      <c r="L34" s="93" t="s">
        <v>245</v>
      </c>
      <c r="M34" s="93" t="s">
        <v>246</v>
      </c>
      <c r="N34" s="93" t="s">
        <v>243</v>
      </c>
      <c r="O34" s="93" t="s">
        <v>124</v>
      </c>
      <c r="P34" s="93">
        <v>4.0</v>
      </c>
      <c r="Q34" s="93" t="s">
        <v>98</v>
      </c>
      <c r="R34" s="93" t="s">
        <v>98</v>
      </c>
      <c r="S34" s="93" t="s">
        <v>98</v>
      </c>
      <c r="T34" s="93" t="s">
        <v>98</v>
      </c>
      <c r="U34" s="93" t="s">
        <v>98</v>
      </c>
      <c r="V34" s="93">
        <v>1.0</v>
      </c>
      <c r="W34" s="93" t="s">
        <v>98</v>
      </c>
      <c r="X34" s="93" t="s">
        <v>98</v>
      </c>
      <c r="Y34" s="93" t="s">
        <v>98</v>
      </c>
      <c r="Z34" s="93" t="s">
        <v>98</v>
      </c>
      <c r="AA34" s="93" t="s">
        <v>98</v>
      </c>
      <c r="AB34" s="93">
        <v>1.0</v>
      </c>
      <c r="AC34" s="93" t="s">
        <v>98</v>
      </c>
      <c r="AD34" s="93" t="s">
        <v>98</v>
      </c>
      <c r="AE34" s="93" t="s">
        <v>98</v>
      </c>
      <c r="AF34" s="93" t="s">
        <v>98</v>
      </c>
      <c r="AG34" s="93" t="s">
        <v>98</v>
      </c>
      <c r="AH34" s="93">
        <v>1.0</v>
      </c>
      <c r="AI34" s="93" t="s">
        <v>98</v>
      </c>
      <c r="AJ34" s="93" t="s">
        <v>98</v>
      </c>
      <c r="AK34" s="93" t="s">
        <v>98</v>
      </c>
      <c r="AL34" s="93" t="s">
        <v>98</v>
      </c>
      <c r="AM34" s="93" t="s">
        <v>98</v>
      </c>
      <c r="AN34" s="93">
        <v>1.0</v>
      </c>
      <c r="AO34" s="93" t="s">
        <v>98</v>
      </c>
      <c r="AP34" s="93" t="s">
        <v>245</v>
      </c>
      <c r="AQ34" s="93"/>
      <c r="AR34" s="93" t="s">
        <v>214</v>
      </c>
      <c r="AS34" s="93" t="s">
        <v>214</v>
      </c>
      <c r="AT34" s="93" t="e">
        <v>#VALUE!</v>
      </c>
      <c r="AU34" s="108" t="s">
        <v>98</v>
      </c>
      <c r="AV34" s="93" t="s">
        <v>98</v>
      </c>
      <c r="AW34" s="108"/>
      <c r="AX34" s="93" t="s">
        <v>99</v>
      </c>
      <c r="AY34" s="93">
        <v>0.0</v>
      </c>
      <c r="AZ34" s="95">
        <v>45370.0</v>
      </c>
      <c r="BA34" s="93"/>
    </row>
    <row r="35" ht="30.75" customHeight="1">
      <c r="A35" s="93"/>
      <c r="B35" s="94"/>
      <c r="C35" s="93" t="s">
        <v>206</v>
      </c>
      <c r="D35" s="93">
        <v>13.0</v>
      </c>
      <c r="E35" s="93" t="s">
        <v>131</v>
      </c>
      <c r="F35" s="93" t="s">
        <v>98</v>
      </c>
      <c r="G35" s="93" t="s">
        <v>86</v>
      </c>
      <c r="H35" s="93" t="s">
        <v>207</v>
      </c>
      <c r="I35" s="93" t="s">
        <v>118</v>
      </c>
      <c r="J35" s="93" t="s">
        <v>247</v>
      </c>
      <c r="K35" s="93" t="s">
        <v>248</v>
      </c>
      <c r="L35" s="93" t="s">
        <v>249</v>
      </c>
      <c r="M35" s="93"/>
      <c r="N35" s="93" t="s">
        <v>250</v>
      </c>
      <c r="O35" s="93" t="s">
        <v>124</v>
      </c>
      <c r="P35" s="93">
        <v>4.0</v>
      </c>
      <c r="Q35" s="93" t="s">
        <v>98</v>
      </c>
      <c r="R35" s="93" t="s">
        <v>98</v>
      </c>
      <c r="S35" s="93" t="s">
        <v>98</v>
      </c>
      <c r="T35" s="93" t="s">
        <v>98</v>
      </c>
      <c r="U35" s="93" t="s">
        <v>98</v>
      </c>
      <c r="V35" s="93">
        <v>1.0</v>
      </c>
      <c r="W35" s="93" t="s">
        <v>98</v>
      </c>
      <c r="X35" s="93" t="s">
        <v>98</v>
      </c>
      <c r="Y35" s="93" t="s">
        <v>98</v>
      </c>
      <c r="Z35" s="93" t="s">
        <v>98</v>
      </c>
      <c r="AA35" s="93" t="s">
        <v>98</v>
      </c>
      <c r="AB35" s="93">
        <v>1.0</v>
      </c>
      <c r="AC35" s="93" t="s">
        <v>98</v>
      </c>
      <c r="AD35" s="93" t="s">
        <v>98</v>
      </c>
      <c r="AE35" s="93" t="s">
        <v>98</v>
      </c>
      <c r="AF35" s="93" t="s">
        <v>98</v>
      </c>
      <c r="AG35" s="93" t="s">
        <v>98</v>
      </c>
      <c r="AH35" s="93">
        <v>1.0</v>
      </c>
      <c r="AI35" s="93" t="s">
        <v>98</v>
      </c>
      <c r="AJ35" s="93" t="s">
        <v>98</v>
      </c>
      <c r="AK35" s="93" t="s">
        <v>98</v>
      </c>
      <c r="AL35" s="93" t="s">
        <v>98</v>
      </c>
      <c r="AM35" s="93" t="s">
        <v>98</v>
      </c>
      <c r="AN35" s="93">
        <v>1.0</v>
      </c>
      <c r="AO35" s="93" t="s">
        <v>98</v>
      </c>
      <c r="AP35" s="93" t="s">
        <v>251</v>
      </c>
      <c r="AQ35" s="93"/>
      <c r="AR35" s="93" t="s">
        <v>214</v>
      </c>
      <c r="AS35" s="93" t="s">
        <v>214</v>
      </c>
      <c r="AT35" s="93" t="e">
        <v>#VALUE!</v>
      </c>
      <c r="AU35" s="108" t="s">
        <v>98</v>
      </c>
      <c r="AV35" s="93" t="s">
        <v>98</v>
      </c>
      <c r="AW35" s="108"/>
      <c r="AX35" s="93" t="s">
        <v>99</v>
      </c>
      <c r="AY35" s="93">
        <v>0.0</v>
      </c>
      <c r="AZ35" s="95">
        <v>45370.0</v>
      </c>
      <c r="BA35" s="93"/>
    </row>
    <row r="36" ht="30.75" customHeight="1">
      <c r="A36" s="93"/>
      <c r="B36" s="94" t="s">
        <v>82</v>
      </c>
      <c r="C36" s="94" t="s">
        <v>83</v>
      </c>
      <c r="D36" s="94">
        <v>7.0</v>
      </c>
      <c r="E36" s="93" t="s">
        <v>84</v>
      </c>
      <c r="F36" s="93" t="s">
        <v>252</v>
      </c>
      <c r="G36" s="93" t="s">
        <v>86</v>
      </c>
      <c r="H36" s="93" t="s">
        <v>253</v>
      </c>
      <c r="I36" s="93" t="s">
        <v>88</v>
      </c>
      <c r="J36" s="93" t="s">
        <v>254</v>
      </c>
      <c r="K36" s="93" t="s">
        <v>201</v>
      </c>
      <c r="L36" s="93" t="s">
        <v>202</v>
      </c>
      <c r="M36" s="93" t="s">
        <v>255</v>
      </c>
      <c r="N36" s="93" t="s">
        <v>204</v>
      </c>
      <c r="O36" s="93" t="s">
        <v>94</v>
      </c>
      <c r="P36" s="93">
        <v>12.0</v>
      </c>
      <c r="Q36" s="93">
        <v>1.0</v>
      </c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>
        <v>1.0</v>
      </c>
      <c r="AC36" s="93">
        <v>1.0</v>
      </c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5" t="s">
        <v>95</v>
      </c>
      <c r="AR36" s="95" t="s">
        <v>95</v>
      </c>
      <c r="AS36" s="95" t="s">
        <v>96</v>
      </c>
      <c r="AT36" s="96" t="s">
        <v>256</v>
      </c>
      <c r="AU36" s="93" t="s">
        <v>98</v>
      </c>
      <c r="AV36" s="93" t="s">
        <v>98</v>
      </c>
      <c r="AW36" s="93" t="s">
        <v>98</v>
      </c>
      <c r="AX36" s="95" t="s">
        <v>99</v>
      </c>
      <c r="AY36" s="93" t="str">
        <f t="shared" ref="AY36:AY50" si="14">#REF!</f>
        <v>#REF!</v>
      </c>
      <c r="AZ36" s="95"/>
      <c r="BA36" s="95"/>
    </row>
    <row r="37" ht="30.75" customHeight="1">
      <c r="A37" s="93"/>
      <c r="B37" s="94" t="s">
        <v>82</v>
      </c>
      <c r="C37" s="94" t="s">
        <v>83</v>
      </c>
      <c r="D37" s="93">
        <v>8.0</v>
      </c>
      <c r="E37" s="93" t="s">
        <v>84</v>
      </c>
      <c r="F37" s="93" t="s">
        <v>257</v>
      </c>
      <c r="G37" s="93" t="s">
        <v>86</v>
      </c>
      <c r="H37" s="93" t="s">
        <v>258</v>
      </c>
      <c r="I37" s="93" t="s">
        <v>88</v>
      </c>
      <c r="J37" s="93" t="s">
        <v>259</v>
      </c>
      <c r="K37" s="93" t="s">
        <v>201</v>
      </c>
      <c r="L37" s="93" t="s">
        <v>202</v>
      </c>
      <c r="M37" s="93" t="s">
        <v>260</v>
      </c>
      <c r="N37" s="93" t="s">
        <v>204</v>
      </c>
      <c r="O37" s="93" t="s">
        <v>94</v>
      </c>
      <c r="P37" s="93">
        <v>12.0</v>
      </c>
      <c r="Q37" s="93">
        <v>1.0</v>
      </c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>
        <v>1.0</v>
      </c>
      <c r="AC37" s="93">
        <v>1.0</v>
      </c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5" t="s">
        <v>95</v>
      </c>
      <c r="AR37" s="95" t="s">
        <v>95</v>
      </c>
      <c r="AS37" s="95" t="s">
        <v>96</v>
      </c>
      <c r="AT37" s="96" t="s">
        <v>261</v>
      </c>
      <c r="AU37" s="93" t="s">
        <v>98</v>
      </c>
      <c r="AV37" s="93" t="s">
        <v>98</v>
      </c>
      <c r="AW37" s="93" t="s">
        <v>98</v>
      </c>
      <c r="AX37" s="95" t="s">
        <v>99</v>
      </c>
      <c r="AY37" s="93" t="str">
        <f t="shared" si="14"/>
        <v>#REF!</v>
      </c>
      <c r="AZ37" s="95">
        <f t="shared" ref="AZ37:AZ47" si="15">TODAY()</f>
        <v>46171</v>
      </c>
      <c r="BA37" s="95"/>
    </row>
    <row r="38" ht="30.75" customHeight="1">
      <c r="A38" s="93"/>
      <c r="B38" s="94" t="s">
        <v>82</v>
      </c>
      <c r="C38" s="94" t="s">
        <v>83</v>
      </c>
      <c r="D38" s="94">
        <v>9.0</v>
      </c>
      <c r="E38" s="93" t="s">
        <v>84</v>
      </c>
      <c r="F38" s="93" t="s">
        <v>262</v>
      </c>
      <c r="G38" s="93" t="s">
        <v>86</v>
      </c>
      <c r="H38" s="93" t="s">
        <v>263</v>
      </c>
      <c r="I38" s="93" t="s">
        <v>88</v>
      </c>
      <c r="J38" s="93" t="s">
        <v>264</v>
      </c>
      <c r="K38" s="93" t="s">
        <v>265</v>
      </c>
      <c r="L38" s="93" t="s">
        <v>266</v>
      </c>
      <c r="M38" s="93">
        <v>1001752.0</v>
      </c>
      <c r="N38" s="93" t="s">
        <v>267</v>
      </c>
      <c r="O38" s="93" t="s">
        <v>94</v>
      </c>
      <c r="P38" s="93">
        <v>12.0</v>
      </c>
      <c r="Q38" s="93">
        <v>1.0</v>
      </c>
      <c r="R38" s="93" t="s">
        <v>98</v>
      </c>
      <c r="S38" s="93" t="s">
        <v>98</v>
      </c>
      <c r="T38" s="93" t="s">
        <v>98</v>
      </c>
      <c r="U38" s="93" t="s">
        <v>98</v>
      </c>
      <c r="V38" s="93" t="s">
        <v>98</v>
      </c>
      <c r="W38" s="93" t="s">
        <v>98</v>
      </c>
      <c r="X38" s="93" t="s">
        <v>98</v>
      </c>
      <c r="Y38" s="93" t="s">
        <v>98</v>
      </c>
      <c r="Z38" s="93" t="s">
        <v>98</v>
      </c>
      <c r="AA38" s="93" t="s">
        <v>98</v>
      </c>
      <c r="AB38" s="93" t="s">
        <v>98</v>
      </c>
      <c r="AC38" s="93" t="s">
        <v>98</v>
      </c>
      <c r="AD38" s="93" t="s">
        <v>98</v>
      </c>
      <c r="AE38" s="93" t="s">
        <v>98</v>
      </c>
      <c r="AF38" s="93" t="s">
        <v>98</v>
      </c>
      <c r="AG38" s="93" t="s">
        <v>98</v>
      </c>
      <c r="AH38" s="93" t="s">
        <v>98</v>
      </c>
      <c r="AI38" s="93" t="s">
        <v>98</v>
      </c>
      <c r="AJ38" s="93" t="s">
        <v>98</v>
      </c>
      <c r="AK38" s="93" t="s">
        <v>98</v>
      </c>
      <c r="AL38" s="93" t="s">
        <v>98</v>
      </c>
      <c r="AM38" s="93" t="s">
        <v>98</v>
      </c>
      <c r="AN38" s="93" t="s">
        <v>98</v>
      </c>
      <c r="AO38" s="93" t="s">
        <v>98</v>
      </c>
      <c r="AP38" s="93" t="str">
        <f t="shared" ref="AP38:AP40" si="16">#REF!</f>
        <v>#REF!</v>
      </c>
      <c r="AQ38" s="95" t="s">
        <v>98</v>
      </c>
      <c r="AR38" s="95" t="s">
        <v>98</v>
      </c>
      <c r="AS38" s="95" t="str">
        <f t="shared" ref="AS38:AS40" si="17">DATE(YEAR(AQ38),MONTH(AQ38)+P38,DAY(AQ38))</f>
        <v>#VALUE!</v>
      </c>
      <c r="AT38" s="93" t="s">
        <v>98</v>
      </c>
      <c r="AU38" s="93" t="s">
        <v>98</v>
      </c>
      <c r="AV38" s="93" t="s">
        <v>98</v>
      </c>
      <c r="AW38" s="93" t="s">
        <v>98</v>
      </c>
      <c r="AX38" s="93" t="s">
        <v>113</v>
      </c>
      <c r="AY38" s="93" t="str">
        <f t="shared" si="14"/>
        <v>#REF!</v>
      </c>
      <c r="AZ38" s="95">
        <f t="shared" si="15"/>
        <v>46171</v>
      </c>
      <c r="BA38" s="95"/>
    </row>
    <row r="39" ht="30.75" customHeight="1">
      <c r="A39" s="93"/>
      <c r="B39" s="94" t="s">
        <v>82</v>
      </c>
      <c r="C39" s="94" t="s">
        <v>83</v>
      </c>
      <c r="D39" s="93">
        <v>10.0</v>
      </c>
      <c r="E39" s="93" t="s">
        <v>84</v>
      </c>
      <c r="F39" s="93" t="s">
        <v>268</v>
      </c>
      <c r="G39" s="93" t="s">
        <v>86</v>
      </c>
      <c r="H39" s="93" t="s">
        <v>269</v>
      </c>
      <c r="I39" s="93" t="s">
        <v>88</v>
      </c>
      <c r="J39" s="93" t="s">
        <v>270</v>
      </c>
      <c r="K39" s="93" t="s">
        <v>201</v>
      </c>
      <c r="L39" s="93" t="s">
        <v>202</v>
      </c>
      <c r="M39" s="93" t="s">
        <v>271</v>
      </c>
      <c r="N39" s="93" t="s">
        <v>204</v>
      </c>
      <c r="O39" s="93" t="s">
        <v>94</v>
      </c>
      <c r="P39" s="93">
        <v>12.0</v>
      </c>
      <c r="Q39" s="93">
        <v>1.0</v>
      </c>
      <c r="R39" s="93" t="s">
        <v>98</v>
      </c>
      <c r="S39" s="93" t="s">
        <v>98</v>
      </c>
      <c r="T39" s="93" t="s">
        <v>98</v>
      </c>
      <c r="U39" s="93" t="s">
        <v>98</v>
      </c>
      <c r="V39" s="93" t="s">
        <v>98</v>
      </c>
      <c r="W39" s="93" t="s">
        <v>98</v>
      </c>
      <c r="X39" s="93" t="s">
        <v>98</v>
      </c>
      <c r="Y39" s="93" t="s">
        <v>98</v>
      </c>
      <c r="Z39" s="93" t="s">
        <v>98</v>
      </c>
      <c r="AA39" s="93" t="s">
        <v>98</v>
      </c>
      <c r="AB39" s="93" t="s">
        <v>98</v>
      </c>
      <c r="AC39" s="93" t="s">
        <v>98</v>
      </c>
      <c r="AD39" s="93" t="s">
        <v>98</v>
      </c>
      <c r="AE39" s="93" t="s">
        <v>98</v>
      </c>
      <c r="AF39" s="93" t="s">
        <v>98</v>
      </c>
      <c r="AG39" s="93" t="s">
        <v>98</v>
      </c>
      <c r="AH39" s="93" t="s">
        <v>98</v>
      </c>
      <c r="AI39" s="93" t="s">
        <v>98</v>
      </c>
      <c r="AJ39" s="93" t="s">
        <v>98</v>
      </c>
      <c r="AK39" s="93" t="s">
        <v>98</v>
      </c>
      <c r="AL39" s="93" t="s">
        <v>98</v>
      </c>
      <c r="AM39" s="93" t="s">
        <v>98</v>
      </c>
      <c r="AN39" s="93" t="s">
        <v>98</v>
      </c>
      <c r="AO39" s="93" t="s">
        <v>98</v>
      </c>
      <c r="AP39" s="93" t="str">
        <f t="shared" si="16"/>
        <v>#REF!</v>
      </c>
      <c r="AQ39" s="95" t="s">
        <v>98</v>
      </c>
      <c r="AR39" s="95" t="s">
        <v>98</v>
      </c>
      <c r="AS39" s="95" t="str">
        <f t="shared" si="17"/>
        <v>#VALUE!</v>
      </c>
      <c r="AT39" s="93" t="s">
        <v>98</v>
      </c>
      <c r="AU39" s="93" t="s">
        <v>98</v>
      </c>
      <c r="AV39" s="93" t="s">
        <v>98</v>
      </c>
      <c r="AW39" s="93" t="s">
        <v>98</v>
      </c>
      <c r="AX39" s="93" t="s">
        <v>113</v>
      </c>
      <c r="AY39" s="93" t="str">
        <f t="shared" si="14"/>
        <v>#REF!</v>
      </c>
      <c r="AZ39" s="95">
        <f t="shared" si="15"/>
        <v>46171</v>
      </c>
      <c r="BA39" s="95"/>
    </row>
    <row r="40" ht="30.75" customHeight="1">
      <c r="A40" s="93"/>
      <c r="B40" s="94" t="s">
        <v>82</v>
      </c>
      <c r="C40" s="94" t="s">
        <v>83</v>
      </c>
      <c r="D40" s="94">
        <v>11.0</v>
      </c>
      <c r="E40" s="93" t="s">
        <v>84</v>
      </c>
      <c r="F40" s="93" t="s">
        <v>272</v>
      </c>
      <c r="G40" s="93" t="s">
        <v>86</v>
      </c>
      <c r="H40" s="93" t="s">
        <v>273</v>
      </c>
      <c r="I40" s="93" t="s">
        <v>88</v>
      </c>
      <c r="J40" s="93" t="s">
        <v>274</v>
      </c>
      <c r="K40" s="93" t="s">
        <v>265</v>
      </c>
      <c r="L40" s="93" t="s">
        <v>266</v>
      </c>
      <c r="M40" s="93">
        <v>1000288.0</v>
      </c>
      <c r="N40" s="93" t="s">
        <v>267</v>
      </c>
      <c r="O40" s="93" t="s">
        <v>94</v>
      </c>
      <c r="P40" s="93">
        <v>12.0</v>
      </c>
      <c r="Q40" s="93">
        <v>1.0</v>
      </c>
      <c r="R40" s="93" t="s">
        <v>98</v>
      </c>
      <c r="S40" s="93" t="s">
        <v>98</v>
      </c>
      <c r="T40" s="93" t="s">
        <v>98</v>
      </c>
      <c r="U40" s="93" t="s">
        <v>98</v>
      </c>
      <c r="V40" s="93" t="s">
        <v>98</v>
      </c>
      <c r="W40" s="93" t="s">
        <v>98</v>
      </c>
      <c r="X40" s="93" t="s">
        <v>98</v>
      </c>
      <c r="Y40" s="93" t="s">
        <v>98</v>
      </c>
      <c r="Z40" s="93" t="s">
        <v>98</v>
      </c>
      <c r="AA40" s="93" t="s">
        <v>98</v>
      </c>
      <c r="AB40" s="93" t="s">
        <v>98</v>
      </c>
      <c r="AC40" s="93" t="s">
        <v>98</v>
      </c>
      <c r="AD40" s="93" t="s">
        <v>98</v>
      </c>
      <c r="AE40" s="93" t="s">
        <v>98</v>
      </c>
      <c r="AF40" s="93" t="s">
        <v>98</v>
      </c>
      <c r="AG40" s="93" t="s">
        <v>98</v>
      </c>
      <c r="AH40" s="93" t="s">
        <v>98</v>
      </c>
      <c r="AI40" s="93" t="s">
        <v>98</v>
      </c>
      <c r="AJ40" s="93" t="s">
        <v>98</v>
      </c>
      <c r="AK40" s="93" t="s">
        <v>98</v>
      </c>
      <c r="AL40" s="93" t="s">
        <v>98</v>
      </c>
      <c r="AM40" s="93" t="s">
        <v>98</v>
      </c>
      <c r="AN40" s="93" t="s">
        <v>98</v>
      </c>
      <c r="AO40" s="93" t="s">
        <v>98</v>
      </c>
      <c r="AP40" s="93" t="str">
        <f t="shared" si="16"/>
        <v>#REF!</v>
      </c>
      <c r="AQ40" s="95" t="s">
        <v>98</v>
      </c>
      <c r="AR40" s="95" t="s">
        <v>98</v>
      </c>
      <c r="AS40" s="95" t="str">
        <f t="shared" si="17"/>
        <v>#VALUE!</v>
      </c>
      <c r="AT40" s="93" t="s">
        <v>98</v>
      </c>
      <c r="AU40" s="93" t="s">
        <v>98</v>
      </c>
      <c r="AV40" s="93" t="s">
        <v>98</v>
      </c>
      <c r="AW40" s="93" t="s">
        <v>98</v>
      </c>
      <c r="AX40" s="93" t="s">
        <v>113</v>
      </c>
      <c r="AY40" s="93" t="str">
        <f t="shared" si="14"/>
        <v>#REF!</v>
      </c>
      <c r="AZ40" s="95">
        <f t="shared" si="15"/>
        <v>46171</v>
      </c>
      <c r="BA40" s="95"/>
    </row>
    <row r="41" ht="30.75" customHeight="1">
      <c r="A41" s="93"/>
      <c r="B41" s="94" t="s">
        <v>82</v>
      </c>
      <c r="C41" s="94" t="s">
        <v>83</v>
      </c>
      <c r="D41" s="93">
        <v>12.0</v>
      </c>
      <c r="E41" s="93" t="s">
        <v>84</v>
      </c>
      <c r="F41" s="93" t="s">
        <v>275</v>
      </c>
      <c r="G41" s="93" t="s">
        <v>86</v>
      </c>
      <c r="H41" s="93" t="s">
        <v>276</v>
      </c>
      <c r="I41" s="93" t="s">
        <v>88</v>
      </c>
      <c r="J41" s="93" t="s">
        <v>277</v>
      </c>
      <c r="K41" s="93" t="s">
        <v>201</v>
      </c>
      <c r="L41" s="93" t="s">
        <v>278</v>
      </c>
      <c r="M41" s="93" t="s">
        <v>279</v>
      </c>
      <c r="N41" s="93" t="s">
        <v>204</v>
      </c>
      <c r="O41" s="93" t="s">
        <v>94</v>
      </c>
      <c r="P41" s="93">
        <v>12.0</v>
      </c>
      <c r="Q41" s="93">
        <v>1.0</v>
      </c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>
        <v>1.0</v>
      </c>
      <c r="AC41" s="93">
        <v>1.0</v>
      </c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5" t="s">
        <v>95</v>
      </c>
      <c r="AR41" s="95" t="s">
        <v>95</v>
      </c>
      <c r="AS41" s="95" t="s">
        <v>96</v>
      </c>
      <c r="AT41" s="96" t="s">
        <v>280</v>
      </c>
      <c r="AU41" s="93" t="s">
        <v>98</v>
      </c>
      <c r="AV41" s="93" t="s">
        <v>98</v>
      </c>
      <c r="AW41" s="93" t="s">
        <v>98</v>
      </c>
      <c r="AX41" s="95" t="s">
        <v>99</v>
      </c>
      <c r="AY41" s="93" t="str">
        <f t="shared" si="14"/>
        <v>#REF!</v>
      </c>
      <c r="AZ41" s="95">
        <f t="shared" si="15"/>
        <v>46171</v>
      </c>
      <c r="BA41" s="95"/>
    </row>
    <row r="42" ht="30.75" customHeight="1">
      <c r="A42" s="93"/>
      <c r="B42" s="94" t="s">
        <v>82</v>
      </c>
      <c r="C42" s="94" t="s">
        <v>83</v>
      </c>
      <c r="D42" s="94">
        <v>13.0</v>
      </c>
      <c r="E42" s="93" t="s">
        <v>84</v>
      </c>
      <c r="F42" s="93" t="s">
        <v>281</v>
      </c>
      <c r="G42" s="93" t="s">
        <v>86</v>
      </c>
      <c r="H42" s="93" t="s">
        <v>282</v>
      </c>
      <c r="I42" s="93" t="s">
        <v>88</v>
      </c>
      <c r="J42" s="93" t="s">
        <v>283</v>
      </c>
      <c r="K42" s="93" t="s">
        <v>201</v>
      </c>
      <c r="L42" s="93" t="s">
        <v>278</v>
      </c>
      <c r="M42" s="93" t="s">
        <v>284</v>
      </c>
      <c r="N42" s="93" t="s">
        <v>204</v>
      </c>
      <c r="O42" s="93" t="s">
        <v>94</v>
      </c>
      <c r="P42" s="93">
        <v>12.0</v>
      </c>
      <c r="Q42" s="93">
        <v>1.0</v>
      </c>
      <c r="R42" s="93"/>
      <c r="S42" s="93"/>
      <c r="T42" s="93"/>
      <c r="U42" s="93"/>
      <c r="V42" s="93">
        <v>1.0</v>
      </c>
      <c r="W42" s="93">
        <v>1.0</v>
      </c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 t="str">
        <f>#REF!</f>
        <v>#REF!</v>
      </c>
      <c r="AQ42" s="95">
        <v>44999.0</v>
      </c>
      <c r="AR42" s="95">
        <v>44999.0</v>
      </c>
      <c r="AS42" s="95">
        <f>DATE(YEAR(AQ42),MONTH(AQ42)+P42,DAY(AQ42))</f>
        <v>45365</v>
      </c>
      <c r="AT42" s="96" t="s">
        <v>285</v>
      </c>
      <c r="AU42" s="93" t="s">
        <v>98</v>
      </c>
      <c r="AV42" s="93" t="s">
        <v>98</v>
      </c>
      <c r="AW42" s="93" t="s">
        <v>98</v>
      </c>
      <c r="AX42" s="95" t="s">
        <v>99</v>
      </c>
      <c r="AY42" s="93" t="str">
        <f t="shared" si="14"/>
        <v>#REF!</v>
      </c>
      <c r="AZ42" s="95">
        <f t="shared" si="15"/>
        <v>46171</v>
      </c>
      <c r="BA42" s="95"/>
    </row>
    <row r="43" ht="30.75" customHeight="1">
      <c r="A43" s="93"/>
      <c r="B43" s="94" t="s">
        <v>82</v>
      </c>
      <c r="C43" s="94" t="s">
        <v>83</v>
      </c>
      <c r="D43" s="93">
        <v>16.0</v>
      </c>
      <c r="E43" s="93" t="s">
        <v>84</v>
      </c>
      <c r="F43" s="93" t="s">
        <v>286</v>
      </c>
      <c r="G43" s="93" t="s">
        <v>86</v>
      </c>
      <c r="H43" s="93"/>
      <c r="I43" s="93" t="s">
        <v>88</v>
      </c>
      <c r="J43" s="93" t="s">
        <v>287</v>
      </c>
      <c r="K43" s="93" t="s">
        <v>192</v>
      </c>
      <c r="L43" s="93" t="s">
        <v>288</v>
      </c>
      <c r="M43" s="93">
        <v>155285.0</v>
      </c>
      <c r="N43" s="93"/>
      <c r="O43" s="93" t="s">
        <v>94</v>
      </c>
      <c r="P43" s="93">
        <v>12.0</v>
      </c>
      <c r="Q43" s="93">
        <v>1.0</v>
      </c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>
        <v>1.0</v>
      </c>
      <c r="AC43" s="93">
        <v>1.0</v>
      </c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5" t="s">
        <v>95</v>
      </c>
      <c r="AR43" s="95" t="s">
        <v>95</v>
      </c>
      <c r="AS43" s="95" t="s">
        <v>96</v>
      </c>
      <c r="AT43" s="96" t="s">
        <v>289</v>
      </c>
      <c r="AU43" s="93"/>
      <c r="AV43" s="93"/>
      <c r="AW43" s="93"/>
      <c r="AX43" s="95" t="s">
        <v>99</v>
      </c>
      <c r="AY43" s="93" t="str">
        <f t="shared" si="14"/>
        <v>#REF!</v>
      </c>
      <c r="AZ43" s="95">
        <f t="shared" si="15"/>
        <v>46171</v>
      </c>
      <c r="BA43" s="95"/>
    </row>
    <row r="44" ht="30.75" customHeight="1">
      <c r="A44" s="93"/>
      <c r="B44" s="94" t="s">
        <v>82</v>
      </c>
      <c r="C44" s="94" t="s">
        <v>83</v>
      </c>
      <c r="D44" s="93">
        <v>18.0</v>
      </c>
      <c r="E44" s="93" t="s">
        <v>84</v>
      </c>
      <c r="F44" s="93" t="s">
        <v>290</v>
      </c>
      <c r="G44" s="93" t="s">
        <v>86</v>
      </c>
      <c r="H44" s="93" t="s">
        <v>291</v>
      </c>
      <c r="I44" s="93" t="s">
        <v>88</v>
      </c>
      <c r="J44" s="93" t="s">
        <v>287</v>
      </c>
      <c r="K44" s="93" t="s">
        <v>98</v>
      </c>
      <c r="L44" s="93" t="s">
        <v>292</v>
      </c>
      <c r="M44" s="93">
        <v>279128.0</v>
      </c>
      <c r="N44" s="93" t="s">
        <v>98</v>
      </c>
      <c r="O44" s="93" t="s">
        <v>94</v>
      </c>
      <c r="P44" s="93">
        <v>12.0</v>
      </c>
      <c r="Q44" s="93">
        <v>1.0</v>
      </c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>
        <v>1.0</v>
      </c>
      <c r="AE44" s="93">
        <v>1.0</v>
      </c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 t="str">
        <f t="shared" ref="AP44:AP47" si="18">#REF!</f>
        <v>#REF!</v>
      </c>
      <c r="AQ44" s="95" t="s">
        <v>98</v>
      </c>
      <c r="AR44" s="95" t="s">
        <v>98</v>
      </c>
      <c r="AS44" s="95" t="str">
        <f t="shared" ref="AS44:AS47" si="19">DATE(YEAR(AQ44),MONTH(AQ44)+P44,DAY(AQ44))</f>
        <v>#VALUE!</v>
      </c>
      <c r="AT44" s="95" t="s">
        <v>98</v>
      </c>
      <c r="AU44" s="95" t="s">
        <v>98</v>
      </c>
      <c r="AV44" s="95" t="s">
        <v>98</v>
      </c>
      <c r="AW44" s="95" t="s">
        <v>98</v>
      </c>
      <c r="AX44" s="93" t="s">
        <v>113</v>
      </c>
      <c r="AY44" s="93" t="str">
        <f t="shared" si="14"/>
        <v>#REF!</v>
      </c>
      <c r="AZ44" s="95">
        <f t="shared" si="15"/>
        <v>46171</v>
      </c>
      <c r="BA44" s="95"/>
    </row>
    <row r="45" ht="30.75" customHeight="1">
      <c r="A45" s="93"/>
      <c r="B45" s="94" t="s">
        <v>82</v>
      </c>
      <c r="C45" s="94" t="s">
        <v>83</v>
      </c>
      <c r="D45" s="94">
        <v>19.0</v>
      </c>
      <c r="E45" s="93" t="s">
        <v>84</v>
      </c>
      <c r="F45" s="93" t="s">
        <v>293</v>
      </c>
      <c r="G45" s="93" t="s">
        <v>86</v>
      </c>
      <c r="H45" s="93" t="s">
        <v>294</v>
      </c>
      <c r="I45" s="93" t="s">
        <v>88</v>
      </c>
      <c r="J45" s="93" t="s">
        <v>287</v>
      </c>
      <c r="K45" s="93" t="s">
        <v>265</v>
      </c>
      <c r="L45" s="93" t="s">
        <v>266</v>
      </c>
      <c r="M45" s="93">
        <v>1001753.0</v>
      </c>
      <c r="N45" s="93" t="s">
        <v>267</v>
      </c>
      <c r="O45" s="93" t="s">
        <v>94</v>
      </c>
      <c r="P45" s="93">
        <v>12.0</v>
      </c>
      <c r="Q45" s="93">
        <v>1.0</v>
      </c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>
        <v>1.0</v>
      </c>
      <c r="AE45" s="93">
        <v>1.0</v>
      </c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 t="str">
        <f t="shared" si="18"/>
        <v>#REF!</v>
      </c>
      <c r="AQ45" s="95" t="s">
        <v>98</v>
      </c>
      <c r="AR45" s="95" t="s">
        <v>98</v>
      </c>
      <c r="AS45" s="95" t="str">
        <f t="shared" si="19"/>
        <v>#VALUE!</v>
      </c>
      <c r="AT45" s="95" t="s">
        <v>98</v>
      </c>
      <c r="AU45" s="95" t="s">
        <v>98</v>
      </c>
      <c r="AV45" s="95" t="s">
        <v>98</v>
      </c>
      <c r="AW45" s="95" t="s">
        <v>98</v>
      </c>
      <c r="AX45" s="93" t="s">
        <v>113</v>
      </c>
      <c r="AY45" s="93" t="str">
        <f t="shared" si="14"/>
        <v>#REF!</v>
      </c>
      <c r="AZ45" s="95">
        <f t="shared" si="15"/>
        <v>46171</v>
      </c>
      <c r="BA45" s="95"/>
    </row>
    <row r="46" ht="30.75" customHeight="1">
      <c r="A46" s="93"/>
      <c r="B46" s="94" t="s">
        <v>82</v>
      </c>
      <c r="C46" s="94" t="s">
        <v>83</v>
      </c>
      <c r="D46" s="93">
        <v>20.0</v>
      </c>
      <c r="E46" s="93" t="s">
        <v>84</v>
      </c>
      <c r="F46" s="93" t="s">
        <v>295</v>
      </c>
      <c r="G46" s="93" t="s">
        <v>86</v>
      </c>
      <c r="H46" s="93" t="s">
        <v>296</v>
      </c>
      <c r="I46" s="93" t="s">
        <v>88</v>
      </c>
      <c r="J46" s="93" t="s">
        <v>287</v>
      </c>
      <c r="K46" s="93" t="s">
        <v>265</v>
      </c>
      <c r="L46" s="93" t="s">
        <v>266</v>
      </c>
      <c r="M46" s="93">
        <v>9.000060002E9</v>
      </c>
      <c r="N46" s="93" t="s">
        <v>267</v>
      </c>
      <c r="O46" s="93" t="s">
        <v>94</v>
      </c>
      <c r="P46" s="93">
        <v>12.0</v>
      </c>
      <c r="Q46" s="93">
        <v>1.0</v>
      </c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>
        <v>1.0</v>
      </c>
      <c r="AE46" s="93">
        <v>1.0</v>
      </c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 t="str">
        <f t="shared" si="18"/>
        <v>#REF!</v>
      </c>
      <c r="AQ46" s="95" t="s">
        <v>98</v>
      </c>
      <c r="AR46" s="95" t="s">
        <v>98</v>
      </c>
      <c r="AS46" s="95" t="str">
        <f t="shared" si="19"/>
        <v>#VALUE!</v>
      </c>
      <c r="AT46" s="95" t="s">
        <v>98</v>
      </c>
      <c r="AU46" s="95" t="s">
        <v>98</v>
      </c>
      <c r="AV46" s="95" t="s">
        <v>98</v>
      </c>
      <c r="AW46" s="95" t="s">
        <v>98</v>
      </c>
      <c r="AX46" s="93" t="s">
        <v>113</v>
      </c>
      <c r="AY46" s="93" t="str">
        <f t="shared" si="14"/>
        <v>#REF!</v>
      </c>
      <c r="AZ46" s="95">
        <f t="shared" si="15"/>
        <v>46171</v>
      </c>
      <c r="BA46" s="95"/>
    </row>
    <row r="47" ht="30.75" customHeight="1">
      <c r="A47" s="93"/>
      <c r="B47" s="94" t="s">
        <v>82</v>
      </c>
      <c r="C47" s="94" t="s">
        <v>83</v>
      </c>
      <c r="D47" s="94">
        <v>17.0</v>
      </c>
      <c r="E47" s="93" t="s">
        <v>84</v>
      </c>
      <c r="F47" s="93" t="s">
        <v>290</v>
      </c>
      <c r="G47" s="93" t="s">
        <v>86</v>
      </c>
      <c r="H47" s="93" t="s">
        <v>297</v>
      </c>
      <c r="I47" s="93" t="s">
        <v>88</v>
      </c>
      <c r="J47" s="93" t="s">
        <v>287</v>
      </c>
      <c r="K47" s="93" t="s">
        <v>98</v>
      </c>
      <c r="L47" s="93" t="s">
        <v>298</v>
      </c>
      <c r="M47" s="93" t="s">
        <v>299</v>
      </c>
      <c r="N47" s="93" t="s">
        <v>98</v>
      </c>
      <c r="O47" s="93" t="s">
        <v>94</v>
      </c>
      <c r="P47" s="93">
        <v>12.0</v>
      </c>
      <c r="Q47" s="93">
        <v>1.0</v>
      </c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>
        <v>1.0</v>
      </c>
      <c r="AE47" s="93">
        <v>1.0</v>
      </c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 t="str">
        <f t="shared" si="18"/>
        <v>#REF!</v>
      </c>
      <c r="AQ47" s="95" t="s">
        <v>98</v>
      </c>
      <c r="AR47" s="95" t="s">
        <v>98</v>
      </c>
      <c r="AS47" s="95" t="str">
        <f t="shared" si="19"/>
        <v>#VALUE!</v>
      </c>
      <c r="AT47" s="95" t="s">
        <v>98</v>
      </c>
      <c r="AU47" s="95" t="s">
        <v>98</v>
      </c>
      <c r="AV47" s="95" t="s">
        <v>98</v>
      </c>
      <c r="AW47" s="95" t="s">
        <v>98</v>
      </c>
      <c r="AX47" s="93" t="s">
        <v>113</v>
      </c>
      <c r="AY47" s="93" t="str">
        <f t="shared" si="14"/>
        <v>#REF!</v>
      </c>
      <c r="AZ47" s="95">
        <f t="shared" si="15"/>
        <v>46171</v>
      </c>
      <c r="BA47" s="95"/>
    </row>
    <row r="48" ht="30.75" customHeight="1">
      <c r="A48" s="93"/>
      <c r="B48" s="94" t="s">
        <v>82</v>
      </c>
      <c r="C48" s="94" t="s">
        <v>83</v>
      </c>
      <c r="D48" s="94">
        <v>21.0</v>
      </c>
      <c r="E48" s="93" t="s">
        <v>84</v>
      </c>
      <c r="F48" s="93" t="s">
        <v>300</v>
      </c>
      <c r="G48" s="93" t="s">
        <v>86</v>
      </c>
      <c r="H48" s="93" t="s">
        <v>301</v>
      </c>
      <c r="I48" s="93" t="s">
        <v>88</v>
      </c>
      <c r="J48" s="93" t="s">
        <v>302</v>
      </c>
      <c r="K48" s="93" t="s">
        <v>303</v>
      </c>
      <c r="L48" s="93" t="s">
        <v>304</v>
      </c>
      <c r="M48" s="93">
        <v>4.0861915E7</v>
      </c>
      <c r="N48" s="93" t="s">
        <v>305</v>
      </c>
      <c r="O48" s="93" t="s">
        <v>94</v>
      </c>
      <c r="P48" s="93">
        <v>12.0</v>
      </c>
      <c r="Q48" s="93">
        <v>1.0</v>
      </c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>
        <v>1.0</v>
      </c>
      <c r="AC48" s="93">
        <v>1.0</v>
      </c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5" t="s">
        <v>95</v>
      </c>
      <c r="AR48" s="95" t="s">
        <v>95</v>
      </c>
      <c r="AS48" s="95" t="s">
        <v>96</v>
      </c>
      <c r="AT48" s="96" t="s">
        <v>306</v>
      </c>
      <c r="AU48" s="93"/>
      <c r="AV48" s="93"/>
      <c r="AW48" s="93"/>
      <c r="AX48" s="95" t="s">
        <v>99</v>
      </c>
      <c r="AY48" s="93" t="str">
        <f t="shared" si="14"/>
        <v>#REF!</v>
      </c>
      <c r="AZ48" s="95"/>
      <c r="BA48" s="95"/>
    </row>
    <row r="49" ht="30.75" customHeight="1">
      <c r="A49" s="93"/>
      <c r="B49" s="94" t="s">
        <v>82</v>
      </c>
      <c r="C49" s="94" t="s">
        <v>83</v>
      </c>
      <c r="D49" s="93">
        <v>22.0</v>
      </c>
      <c r="E49" s="93" t="s">
        <v>84</v>
      </c>
      <c r="F49" s="93" t="s">
        <v>307</v>
      </c>
      <c r="G49" s="93" t="s">
        <v>86</v>
      </c>
      <c r="H49" s="93" t="s">
        <v>308</v>
      </c>
      <c r="I49" s="93" t="s">
        <v>88</v>
      </c>
      <c r="J49" s="93" t="s">
        <v>309</v>
      </c>
      <c r="K49" s="93" t="s">
        <v>310</v>
      </c>
      <c r="L49" s="93" t="s">
        <v>311</v>
      </c>
      <c r="M49" s="93">
        <v>4.1467474E7</v>
      </c>
      <c r="N49" s="93" t="s">
        <v>305</v>
      </c>
      <c r="O49" s="93" t="s">
        <v>94</v>
      </c>
      <c r="P49" s="93">
        <v>12.0</v>
      </c>
      <c r="Q49" s="93">
        <v>1.0</v>
      </c>
      <c r="R49" s="93"/>
      <c r="S49" s="93"/>
      <c r="T49" s="93"/>
      <c r="U49" s="93"/>
      <c r="V49" s="93">
        <v>1.0</v>
      </c>
      <c r="W49" s="93">
        <v>1.0</v>
      </c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 t="str">
        <f>#REF!</f>
        <v>#REF!</v>
      </c>
      <c r="AQ49" s="95">
        <v>44999.0</v>
      </c>
      <c r="AR49" s="95">
        <v>44999.0</v>
      </c>
      <c r="AS49" s="95">
        <f>DATE(YEAR(AQ49),MONTH(AQ49)+P49,DAY(AQ49))</f>
        <v>45365</v>
      </c>
      <c r="AT49" s="96" t="s">
        <v>312</v>
      </c>
      <c r="AU49" s="93"/>
      <c r="AV49" s="93"/>
      <c r="AW49" s="93"/>
      <c r="AX49" s="95" t="s">
        <v>99</v>
      </c>
      <c r="AY49" s="93" t="str">
        <f t="shared" si="14"/>
        <v>#REF!</v>
      </c>
      <c r="AZ49" s="95">
        <f t="shared" ref="AZ49:AZ50" si="20">TODAY()</f>
        <v>46171</v>
      </c>
      <c r="BA49" s="95"/>
    </row>
    <row r="50" ht="30.75" customHeight="1">
      <c r="A50" s="93"/>
      <c r="B50" s="94" t="s">
        <v>82</v>
      </c>
      <c r="C50" s="94" t="s">
        <v>83</v>
      </c>
      <c r="D50" s="94">
        <v>23.0</v>
      </c>
      <c r="E50" s="93" t="s">
        <v>84</v>
      </c>
      <c r="F50" s="93" t="s">
        <v>313</v>
      </c>
      <c r="G50" s="93" t="s">
        <v>86</v>
      </c>
      <c r="H50" s="93" t="s">
        <v>314</v>
      </c>
      <c r="I50" s="93" t="s">
        <v>88</v>
      </c>
      <c r="J50" s="93" t="s">
        <v>315</v>
      </c>
      <c r="K50" s="93" t="s">
        <v>303</v>
      </c>
      <c r="L50" s="93" t="s">
        <v>316</v>
      </c>
      <c r="M50" s="93">
        <v>4.1826689E7</v>
      </c>
      <c r="N50" s="93" t="s">
        <v>305</v>
      </c>
      <c r="O50" s="93" t="s">
        <v>94</v>
      </c>
      <c r="P50" s="93">
        <v>12.0</v>
      </c>
      <c r="Q50" s="93">
        <v>1.0</v>
      </c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>
        <v>1.0</v>
      </c>
      <c r="AC50" s="93">
        <v>1.0</v>
      </c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5" t="s">
        <v>95</v>
      </c>
      <c r="AR50" s="95" t="s">
        <v>95</v>
      </c>
      <c r="AS50" s="95" t="s">
        <v>96</v>
      </c>
      <c r="AT50" s="96" t="s">
        <v>317</v>
      </c>
      <c r="AU50" s="93"/>
      <c r="AV50" s="93"/>
      <c r="AW50" s="93"/>
      <c r="AX50" s="95" t="s">
        <v>99</v>
      </c>
      <c r="AY50" s="93" t="str">
        <f t="shared" si="14"/>
        <v>#REF!</v>
      </c>
      <c r="AZ50" s="95">
        <f t="shared" si="20"/>
        <v>46171</v>
      </c>
      <c r="BA50" s="95"/>
    </row>
    <row r="51" ht="30.75" customHeight="1">
      <c r="A51" s="93"/>
      <c r="B51" s="94" t="s">
        <v>82</v>
      </c>
      <c r="C51" s="94" t="s">
        <v>83</v>
      </c>
      <c r="D51" s="93">
        <v>17.0</v>
      </c>
      <c r="E51" s="93" t="s">
        <v>131</v>
      </c>
      <c r="F51" s="93" t="s">
        <v>318</v>
      </c>
      <c r="G51" s="93" t="s">
        <v>86</v>
      </c>
      <c r="H51" s="93" t="s">
        <v>98</v>
      </c>
      <c r="I51" s="93" t="s">
        <v>88</v>
      </c>
      <c r="J51" s="93" t="s">
        <v>319</v>
      </c>
      <c r="K51" s="93" t="s">
        <v>192</v>
      </c>
      <c r="L51" s="93" t="s">
        <v>320</v>
      </c>
      <c r="M51" s="93">
        <v>133082.0</v>
      </c>
      <c r="N51" s="93" t="s">
        <v>321</v>
      </c>
      <c r="O51" s="93" t="s">
        <v>94</v>
      </c>
      <c r="P51" s="93">
        <v>12.0</v>
      </c>
      <c r="Q51" s="93">
        <v>12.0</v>
      </c>
      <c r="R51" s="93"/>
      <c r="S51" s="93"/>
      <c r="T51" s="93"/>
      <c r="U51" s="93"/>
      <c r="V51" s="93">
        <v>1.0</v>
      </c>
      <c r="W51" s="93">
        <v>1.0</v>
      </c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>
        <v>0.0</v>
      </c>
      <c r="AQ51" s="95">
        <v>45000.0</v>
      </c>
      <c r="AR51" s="95">
        <v>45000.0</v>
      </c>
      <c r="AS51" s="95">
        <v>45366.0</v>
      </c>
      <c r="AT51" s="96" t="s">
        <v>322</v>
      </c>
      <c r="AU51" s="93" t="s">
        <v>98</v>
      </c>
      <c r="AV51" s="93" t="s">
        <v>98</v>
      </c>
      <c r="AW51" s="93" t="s">
        <v>98</v>
      </c>
      <c r="AX51" s="93" t="s">
        <v>113</v>
      </c>
      <c r="AY51" s="93">
        <v>0.0</v>
      </c>
      <c r="AZ51" s="95">
        <v>45370.0</v>
      </c>
      <c r="BA51" s="95"/>
    </row>
    <row r="52" ht="30.75" customHeight="1">
      <c r="A52" s="93"/>
      <c r="B52" s="94" t="s">
        <v>82</v>
      </c>
      <c r="C52" s="94" t="s">
        <v>83</v>
      </c>
      <c r="D52" s="93">
        <v>18.0</v>
      </c>
      <c r="E52" s="93" t="s">
        <v>131</v>
      </c>
      <c r="F52" s="93" t="s">
        <v>323</v>
      </c>
      <c r="G52" s="93" t="s">
        <v>86</v>
      </c>
      <c r="H52" s="93" t="s">
        <v>98</v>
      </c>
      <c r="I52" s="93" t="s">
        <v>88</v>
      </c>
      <c r="J52" s="93" t="s">
        <v>319</v>
      </c>
      <c r="K52" s="93" t="s">
        <v>324</v>
      </c>
      <c r="L52" s="93" t="s">
        <v>325</v>
      </c>
      <c r="M52" s="93">
        <v>133082.0</v>
      </c>
      <c r="N52" s="93" t="s">
        <v>98</v>
      </c>
      <c r="O52" s="93" t="s">
        <v>94</v>
      </c>
      <c r="P52" s="93">
        <v>12.0</v>
      </c>
      <c r="Q52" s="93">
        <v>12.0</v>
      </c>
      <c r="R52" s="93"/>
      <c r="S52" s="93"/>
      <c r="T52" s="93"/>
      <c r="U52" s="93"/>
      <c r="V52" s="93">
        <v>1.0</v>
      </c>
      <c r="W52" s="93">
        <v>1.0</v>
      </c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>
        <v>0.0</v>
      </c>
      <c r="AQ52" s="95">
        <v>45000.0</v>
      </c>
      <c r="AR52" s="95">
        <v>45000.0</v>
      </c>
      <c r="AS52" s="95">
        <v>45366.0</v>
      </c>
      <c r="AT52" s="96" t="s">
        <v>322</v>
      </c>
      <c r="AU52" s="93" t="s">
        <v>98</v>
      </c>
      <c r="AV52" s="93" t="s">
        <v>98</v>
      </c>
      <c r="AW52" s="93" t="s">
        <v>98</v>
      </c>
      <c r="AX52" s="93" t="s">
        <v>113</v>
      </c>
      <c r="AY52" s="93">
        <v>0.0</v>
      </c>
      <c r="AZ52" s="95">
        <v>45370.0</v>
      </c>
      <c r="BA52" s="95"/>
    </row>
    <row r="53" ht="30.75" customHeight="1">
      <c r="A53" s="93"/>
      <c r="B53" s="94" t="s">
        <v>82</v>
      </c>
      <c r="C53" s="94" t="s">
        <v>83</v>
      </c>
      <c r="D53" s="93">
        <v>19.0</v>
      </c>
      <c r="E53" s="93" t="s">
        <v>131</v>
      </c>
      <c r="F53" s="93" t="s">
        <v>326</v>
      </c>
      <c r="G53" s="93" t="s">
        <v>86</v>
      </c>
      <c r="H53" s="93" t="s">
        <v>98</v>
      </c>
      <c r="I53" s="93" t="s">
        <v>88</v>
      </c>
      <c r="J53" s="93" t="s">
        <v>319</v>
      </c>
      <c r="K53" s="93" t="s">
        <v>327</v>
      </c>
      <c r="L53" s="93" t="s">
        <v>328</v>
      </c>
      <c r="M53" s="93" t="s">
        <v>98</v>
      </c>
      <c r="N53" s="93" t="s">
        <v>98</v>
      </c>
      <c r="O53" s="93" t="s">
        <v>94</v>
      </c>
      <c r="P53" s="93">
        <v>12.0</v>
      </c>
      <c r="Q53" s="93">
        <v>12.0</v>
      </c>
      <c r="R53" s="93"/>
      <c r="S53" s="93"/>
      <c r="T53" s="93"/>
      <c r="U53" s="93"/>
      <c r="V53" s="93">
        <v>1.0</v>
      </c>
      <c r="W53" s="93">
        <v>1.0</v>
      </c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>
        <v>0.0</v>
      </c>
      <c r="AQ53" s="95">
        <v>45000.0</v>
      </c>
      <c r="AR53" s="95">
        <v>45000.0</v>
      </c>
      <c r="AS53" s="95">
        <v>45366.0</v>
      </c>
      <c r="AT53" s="93" t="s">
        <v>322</v>
      </c>
      <c r="AU53" s="103" t="s">
        <v>98</v>
      </c>
      <c r="AV53" s="93" t="s">
        <v>98</v>
      </c>
      <c r="AW53" s="103" t="s">
        <v>98</v>
      </c>
      <c r="AX53" s="93" t="s">
        <v>113</v>
      </c>
      <c r="AY53" s="93">
        <v>0.0</v>
      </c>
      <c r="AZ53" s="95">
        <v>45370.0</v>
      </c>
      <c r="BA53" s="93"/>
    </row>
    <row r="54" ht="30.75" customHeight="1">
      <c r="A54" s="93"/>
      <c r="B54" s="94" t="s">
        <v>82</v>
      </c>
      <c r="C54" s="94" t="s">
        <v>83</v>
      </c>
      <c r="D54" s="93">
        <v>20.0</v>
      </c>
      <c r="E54" s="93" t="s">
        <v>131</v>
      </c>
      <c r="F54" s="93" t="s">
        <v>329</v>
      </c>
      <c r="G54" s="93" t="s">
        <v>86</v>
      </c>
      <c r="H54" s="93" t="s">
        <v>98</v>
      </c>
      <c r="I54" s="93" t="s">
        <v>88</v>
      </c>
      <c r="J54" s="93" t="s">
        <v>319</v>
      </c>
      <c r="K54" s="93" t="s">
        <v>192</v>
      </c>
      <c r="L54" s="93" t="s">
        <v>330</v>
      </c>
      <c r="M54" s="93">
        <v>133082.0</v>
      </c>
      <c r="N54" s="93" t="s">
        <v>321</v>
      </c>
      <c r="O54" s="93" t="s">
        <v>94</v>
      </c>
      <c r="P54" s="93">
        <v>12.0</v>
      </c>
      <c r="Q54" s="93">
        <v>12.0</v>
      </c>
      <c r="R54" s="93"/>
      <c r="S54" s="93"/>
      <c r="T54" s="93"/>
      <c r="U54" s="93"/>
      <c r="V54" s="93">
        <v>1.0</v>
      </c>
      <c r="W54" s="93">
        <v>1.0</v>
      </c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>
        <v>0.0</v>
      </c>
      <c r="AQ54" s="95">
        <v>45000.0</v>
      </c>
      <c r="AR54" s="95">
        <v>45000.0</v>
      </c>
      <c r="AS54" s="95">
        <v>45366.0</v>
      </c>
      <c r="AT54" s="93" t="s">
        <v>322</v>
      </c>
      <c r="AU54" s="103" t="s">
        <v>98</v>
      </c>
      <c r="AV54" s="93" t="s">
        <v>98</v>
      </c>
      <c r="AW54" s="103" t="s">
        <v>98</v>
      </c>
      <c r="AX54" s="93" t="s">
        <v>113</v>
      </c>
      <c r="AY54" s="93">
        <v>0.0</v>
      </c>
      <c r="AZ54" s="95">
        <v>45370.0</v>
      </c>
      <c r="BA54" s="93"/>
    </row>
    <row r="55" ht="30.75" customHeight="1">
      <c r="A55" s="93" t="s">
        <v>81</v>
      </c>
      <c r="B55" s="94" t="s">
        <v>82</v>
      </c>
      <c r="C55" s="94" t="s">
        <v>83</v>
      </c>
      <c r="D55" s="93">
        <v>5.0</v>
      </c>
      <c r="E55" s="93" t="s">
        <v>116</v>
      </c>
      <c r="F55" s="93" t="s">
        <v>331</v>
      </c>
      <c r="G55" s="93" t="s">
        <v>86</v>
      </c>
      <c r="H55" s="93"/>
      <c r="I55" s="93" t="s">
        <v>88</v>
      </c>
      <c r="J55" s="93" t="s">
        <v>319</v>
      </c>
      <c r="K55" s="93" t="s">
        <v>192</v>
      </c>
      <c r="L55" s="93" t="s">
        <v>320</v>
      </c>
      <c r="M55" s="102">
        <v>140965.0</v>
      </c>
      <c r="N55" s="93"/>
      <c r="O55" s="93" t="s">
        <v>94</v>
      </c>
      <c r="P55" s="93">
        <v>12.0</v>
      </c>
      <c r="Q55" s="93">
        <v>1.0</v>
      </c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>
        <v>1.0</v>
      </c>
      <c r="AC55" s="93">
        <v>1.0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5" t="s">
        <v>95</v>
      </c>
      <c r="AR55" s="95" t="s">
        <v>95</v>
      </c>
      <c r="AS55" s="95" t="s">
        <v>96</v>
      </c>
      <c r="AT55" s="96" t="s">
        <v>332</v>
      </c>
      <c r="AU55" s="95" t="s">
        <v>98</v>
      </c>
      <c r="AV55" s="95" t="s">
        <v>98</v>
      </c>
      <c r="AW55" s="95" t="s">
        <v>98</v>
      </c>
      <c r="AX55" s="95" t="s">
        <v>99</v>
      </c>
      <c r="AY55" s="93" t="str">
        <f t="shared" ref="AY55:AY59" si="21">#REF!</f>
        <v>#REF!</v>
      </c>
      <c r="AZ55" s="95"/>
      <c r="BA55" s="95"/>
    </row>
    <row r="56" ht="30.75" customHeight="1">
      <c r="A56" s="93" t="s">
        <v>81</v>
      </c>
      <c r="B56" s="94" t="s">
        <v>82</v>
      </c>
      <c r="C56" s="94" t="s">
        <v>83</v>
      </c>
      <c r="D56" s="93">
        <v>2.0</v>
      </c>
      <c r="E56" s="93" t="s">
        <v>153</v>
      </c>
      <c r="F56" s="93" t="s">
        <v>326</v>
      </c>
      <c r="G56" s="93" t="s">
        <v>86</v>
      </c>
      <c r="H56" s="93" t="s">
        <v>333</v>
      </c>
      <c r="I56" s="93" t="s">
        <v>118</v>
      </c>
      <c r="J56" s="93" t="s">
        <v>319</v>
      </c>
      <c r="K56" s="93" t="s">
        <v>334</v>
      </c>
      <c r="L56" s="93" t="s">
        <v>328</v>
      </c>
      <c r="M56" s="93">
        <v>6.6160018E7</v>
      </c>
      <c r="N56" s="93"/>
      <c r="O56" s="93" t="s">
        <v>94</v>
      </c>
      <c r="P56" s="93">
        <v>12.0</v>
      </c>
      <c r="Q56" s="93">
        <v>1.0</v>
      </c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>
        <v>1.0</v>
      </c>
      <c r="AG56" s="93">
        <v>1.0</v>
      </c>
      <c r="AH56" s="93"/>
      <c r="AI56" s="93"/>
      <c r="AJ56" s="93"/>
      <c r="AK56" s="93"/>
      <c r="AL56" s="93"/>
      <c r="AM56" s="93"/>
      <c r="AN56" s="93"/>
      <c r="AO56" s="93"/>
      <c r="AP56" s="93" t="str">
        <f t="shared" ref="AP56:AP57" si="22">#REF!</f>
        <v>#REF!</v>
      </c>
      <c r="AQ56" s="95">
        <v>244143.0</v>
      </c>
      <c r="AR56" s="95">
        <v>244143.0</v>
      </c>
      <c r="AS56" s="95">
        <v>244477.0</v>
      </c>
      <c r="AT56" s="93" t="s">
        <v>335</v>
      </c>
      <c r="AU56" s="93"/>
      <c r="AV56" s="93"/>
      <c r="AW56" s="93"/>
      <c r="AX56" s="93" t="s">
        <v>99</v>
      </c>
      <c r="AY56" s="93" t="str">
        <f t="shared" si="21"/>
        <v>#REF!</v>
      </c>
      <c r="AZ56" s="95">
        <f t="shared" ref="AZ56:AZ59" si="23">TODAY()</f>
        <v>46171</v>
      </c>
      <c r="BA56" s="95"/>
    </row>
    <row r="57" ht="30.75" customHeight="1">
      <c r="A57" s="93"/>
      <c r="B57" s="94" t="s">
        <v>82</v>
      </c>
      <c r="C57" s="94" t="s">
        <v>83</v>
      </c>
      <c r="D57" s="93">
        <v>1.0</v>
      </c>
      <c r="E57" s="93" t="s">
        <v>336</v>
      </c>
      <c r="F57" s="93" t="s">
        <v>337</v>
      </c>
      <c r="G57" s="93" t="s">
        <v>86</v>
      </c>
      <c r="H57" s="93" t="s">
        <v>338</v>
      </c>
      <c r="I57" s="93" t="s">
        <v>88</v>
      </c>
      <c r="J57" s="93" t="s">
        <v>319</v>
      </c>
      <c r="K57" s="93" t="s">
        <v>192</v>
      </c>
      <c r="L57" s="93" t="s">
        <v>320</v>
      </c>
      <c r="M57" s="93" t="s">
        <v>98</v>
      </c>
      <c r="N57" s="93" t="s">
        <v>339</v>
      </c>
      <c r="O57" s="93" t="s">
        <v>94</v>
      </c>
      <c r="P57" s="93">
        <v>12.0</v>
      </c>
      <c r="Q57" s="93">
        <v>1.0</v>
      </c>
      <c r="R57" s="93" t="s">
        <v>98</v>
      </c>
      <c r="S57" s="93" t="s">
        <v>98</v>
      </c>
      <c r="T57" s="93" t="s">
        <v>98</v>
      </c>
      <c r="U57" s="93" t="s">
        <v>98</v>
      </c>
      <c r="V57" s="93" t="s">
        <v>98</v>
      </c>
      <c r="W57" s="93" t="s">
        <v>98</v>
      </c>
      <c r="X57" s="93" t="s">
        <v>98</v>
      </c>
      <c r="Y57" s="93" t="s">
        <v>98</v>
      </c>
      <c r="Z57" s="93" t="s">
        <v>98</v>
      </c>
      <c r="AA57" s="93" t="s">
        <v>98</v>
      </c>
      <c r="AB57" s="93" t="s">
        <v>98</v>
      </c>
      <c r="AC57" s="93" t="s">
        <v>98</v>
      </c>
      <c r="AD57" s="93" t="s">
        <v>98</v>
      </c>
      <c r="AE57" s="93" t="s">
        <v>98</v>
      </c>
      <c r="AF57" s="93" t="s">
        <v>98</v>
      </c>
      <c r="AG57" s="93" t="s">
        <v>98</v>
      </c>
      <c r="AH57" s="93" t="s">
        <v>98</v>
      </c>
      <c r="AI57" s="93" t="s">
        <v>98</v>
      </c>
      <c r="AJ57" s="93" t="s">
        <v>98</v>
      </c>
      <c r="AK57" s="93" t="s">
        <v>98</v>
      </c>
      <c r="AL57" s="93" t="s">
        <v>98</v>
      </c>
      <c r="AM57" s="93" t="s">
        <v>98</v>
      </c>
      <c r="AN57" s="93" t="s">
        <v>98</v>
      </c>
      <c r="AO57" s="93" t="s">
        <v>98</v>
      </c>
      <c r="AP57" s="93" t="str">
        <f t="shared" si="22"/>
        <v>#REF!</v>
      </c>
      <c r="AQ57" s="95" t="s">
        <v>98</v>
      </c>
      <c r="AR57" s="95" t="s">
        <v>98</v>
      </c>
      <c r="AS57" s="95" t="str">
        <f>DATE(YEAR(AQ57),MONTH(AQ57)+P57,DAY(AQ57))</f>
        <v>#VALUE!</v>
      </c>
      <c r="AT57" s="95" t="s">
        <v>98</v>
      </c>
      <c r="AU57" s="95" t="s">
        <v>98</v>
      </c>
      <c r="AV57" s="95" t="s">
        <v>98</v>
      </c>
      <c r="AW57" s="95" t="s">
        <v>98</v>
      </c>
      <c r="AX57" s="93" t="s">
        <v>113</v>
      </c>
      <c r="AY57" s="93" t="str">
        <f t="shared" si="21"/>
        <v>#REF!</v>
      </c>
      <c r="AZ57" s="95">
        <f t="shared" si="23"/>
        <v>46171</v>
      </c>
      <c r="BA57" s="95"/>
    </row>
    <row r="58" ht="61.5" customHeight="1">
      <c r="A58" s="93" t="s">
        <v>81</v>
      </c>
      <c r="B58" s="94" t="s">
        <v>82</v>
      </c>
      <c r="C58" s="110" t="s">
        <v>83</v>
      </c>
      <c r="D58" s="111">
        <v>1.0</v>
      </c>
      <c r="E58" s="93" t="s">
        <v>340</v>
      </c>
      <c r="F58" s="93" t="s">
        <v>341</v>
      </c>
      <c r="G58" s="93" t="s">
        <v>86</v>
      </c>
      <c r="H58" s="93" t="s">
        <v>342</v>
      </c>
      <c r="I58" s="93" t="s">
        <v>88</v>
      </c>
      <c r="J58" s="93" t="s">
        <v>319</v>
      </c>
      <c r="K58" s="93" t="s">
        <v>192</v>
      </c>
      <c r="L58" s="93" t="s">
        <v>320</v>
      </c>
      <c r="M58" s="111">
        <v>133082.0</v>
      </c>
      <c r="N58" s="111" t="s">
        <v>321</v>
      </c>
      <c r="O58" s="93" t="s">
        <v>94</v>
      </c>
      <c r="P58" s="111">
        <v>1.0</v>
      </c>
      <c r="Q58" s="111">
        <v>1.0</v>
      </c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>
        <v>1.0</v>
      </c>
      <c r="AC58" s="111">
        <v>1.0</v>
      </c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93">
        <v>0.0</v>
      </c>
      <c r="AQ58" s="105" t="s">
        <v>95</v>
      </c>
      <c r="AR58" s="105" t="s">
        <v>95</v>
      </c>
      <c r="AS58" s="105" t="s">
        <v>96</v>
      </c>
      <c r="AT58" s="112" t="s">
        <v>343</v>
      </c>
      <c r="AU58" s="111" t="s">
        <v>98</v>
      </c>
      <c r="AV58" s="111" t="s">
        <v>98</v>
      </c>
      <c r="AW58" s="111" t="s">
        <v>98</v>
      </c>
      <c r="AX58" s="111" t="s">
        <v>113</v>
      </c>
      <c r="AY58" s="111" t="str">
        <f t="shared" si="21"/>
        <v>#REF!</v>
      </c>
      <c r="AZ58" s="105">
        <f t="shared" si="23"/>
        <v>46171</v>
      </c>
      <c r="BA58" s="95"/>
    </row>
    <row r="59" ht="30.75" customHeight="1">
      <c r="A59" s="93" t="s">
        <v>114</v>
      </c>
      <c r="B59" s="94" t="s">
        <v>107</v>
      </c>
      <c r="C59" s="110" t="s">
        <v>83</v>
      </c>
      <c r="D59" s="111">
        <v>2.0</v>
      </c>
      <c r="E59" s="93" t="s">
        <v>340</v>
      </c>
      <c r="F59" s="93" t="s">
        <v>344</v>
      </c>
      <c r="G59" s="93" t="s">
        <v>86</v>
      </c>
      <c r="H59" s="93" t="s">
        <v>345</v>
      </c>
      <c r="I59" s="93" t="s">
        <v>88</v>
      </c>
      <c r="J59" s="93" t="s">
        <v>319</v>
      </c>
      <c r="K59" s="93" t="s">
        <v>346</v>
      </c>
      <c r="L59" s="93" t="s">
        <v>347</v>
      </c>
      <c r="M59" s="111">
        <v>513686.0</v>
      </c>
      <c r="N59" s="111" t="s">
        <v>348</v>
      </c>
      <c r="O59" s="93" t="s">
        <v>94</v>
      </c>
      <c r="P59" s="111">
        <v>1.0</v>
      </c>
      <c r="Q59" s="111">
        <v>1.0</v>
      </c>
      <c r="R59" s="111" t="s">
        <v>98</v>
      </c>
      <c r="S59" s="111" t="s">
        <v>98</v>
      </c>
      <c r="T59" s="111" t="s">
        <v>98</v>
      </c>
      <c r="U59" s="111" t="s">
        <v>98</v>
      </c>
      <c r="V59" s="111" t="s">
        <v>98</v>
      </c>
      <c r="W59" s="111" t="s">
        <v>98</v>
      </c>
      <c r="X59" s="111" t="s">
        <v>98</v>
      </c>
      <c r="Y59" s="111" t="s">
        <v>98</v>
      </c>
      <c r="Z59" s="111" t="s">
        <v>98</v>
      </c>
      <c r="AA59" s="111" t="s">
        <v>98</v>
      </c>
      <c r="AB59" s="111" t="s">
        <v>98</v>
      </c>
      <c r="AC59" s="111" t="s">
        <v>98</v>
      </c>
      <c r="AD59" s="111" t="s">
        <v>98</v>
      </c>
      <c r="AE59" s="111" t="s">
        <v>98</v>
      </c>
      <c r="AF59" s="111" t="s">
        <v>98</v>
      </c>
      <c r="AG59" s="111" t="s">
        <v>98</v>
      </c>
      <c r="AH59" s="111" t="s">
        <v>98</v>
      </c>
      <c r="AI59" s="111" t="s">
        <v>98</v>
      </c>
      <c r="AJ59" s="111" t="s">
        <v>98</v>
      </c>
      <c r="AK59" s="111" t="s">
        <v>98</v>
      </c>
      <c r="AL59" s="111" t="s">
        <v>98</v>
      </c>
      <c r="AM59" s="111" t="s">
        <v>98</v>
      </c>
      <c r="AN59" s="111" t="s">
        <v>98</v>
      </c>
      <c r="AO59" s="111" t="s">
        <v>98</v>
      </c>
      <c r="AP59" s="93" t="str">
        <f>#REF!</f>
        <v>#REF!</v>
      </c>
      <c r="AQ59" s="105" t="s">
        <v>98</v>
      </c>
      <c r="AR59" s="105" t="s">
        <v>98</v>
      </c>
      <c r="AS59" s="105" t="str">
        <f>DATE(YEAR(AQ59),MONTH(AQ59)+P59,DAY(AQ59))</f>
        <v>#VALUE!</v>
      </c>
      <c r="AT59" s="105" t="s">
        <v>98</v>
      </c>
      <c r="AU59" s="105" t="s">
        <v>98</v>
      </c>
      <c r="AV59" s="105" t="s">
        <v>98</v>
      </c>
      <c r="AW59" s="105" t="s">
        <v>98</v>
      </c>
      <c r="AX59" s="111" t="s">
        <v>113</v>
      </c>
      <c r="AY59" s="111" t="str">
        <f t="shared" si="21"/>
        <v>#REF!</v>
      </c>
      <c r="AZ59" s="105">
        <f t="shared" si="23"/>
        <v>46171</v>
      </c>
      <c r="BA59" s="95"/>
    </row>
    <row r="60" ht="30.75" customHeight="1">
      <c r="A60" s="93" t="s">
        <v>81</v>
      </c>
      <c r="B60" s="94" t="s">
        <v>82</v>
      </c>
      <c r="C60" s="110" t="s">
        <v>83</v>
      </c>
      <c r="D60" s="93"/>
      <c r="E60" s="93" t="s">
        <v>349</v>
      </c>
      <c r="F60" s="93" t="s">
        <v>323</v>
      </c>
      <c r="G60" s="93" t="s">
        <v>86</v>
      </c>
      <c r="H60" s="93" t="s">
        <v>350</v>
      </c>
      <c r="I60" s="93"/>
      <c r="J60" s="93" t="s">
        <v>319</v>
      </c>
      <c r="K60" s="93" t="s">
        <v>324</v>
      </c>
      <c r="L60" s="93" t="s">
        <v>351</v>
      </c>
      <c r="M60" s="111">
        <v>315.0</v>
      </c>
      <c r="N60" s="111" t="s">
        <v>321</v>
      </c>
      <c r="O60" s="93" t="s">
        <v>94</v>
      </c>
      <c r="P60" s="111">
        <v>1.0</v>
      </c>
      <c r="Q60" s="111">
        <v>1.0</v>
      </c>
      <c r="R60" s="111">
        <v>1.0</v>
      </c>
      <c r="S60" s="111" t="s">
        <v>98</v>
      </c>
      <c r="T60" s="111" t="s">
        <v>98</v>
      </c>
      <c r="U60" s="111" t="s">
        <v>98</v>
      </c>
      <c r="V60" s="111" t="s">
        <v>98</v>
      </c>
      <c r="W60" s="111" t="s">
        <v>98</v>
      </c>
      <c r="X60" s="111" t="s">
        <v>98</v>
      </c>
      <c r="Y60" s="111" t="s">
        <v>98</v>
      </c>
      <c r="Z60" s="111" t="s">
        <v>98</v>
      </c>
      <c r="AA60" s="111" t="s">
        <v>98</v>
      </c>
      <c r="AB60" s="111" t="s">
        <v>98</v>
      </c>
      <c r="AC60" s="111" t="s">
        <v>98</v>
      </c>
      <c r="AD60" s="111">
        <v>1.0</v>
      </c>
      <c r="AE60" s="111" t="s">
        <v>98</v>
      </c>
      <c r="AF60" s="111" t="s">
        <v>98</v>
      </c>
      <c r="AG60" s="111" t="s">
        <v>98</v>
      </c>
      <c r="AH60" s="111" t="s">
        <v>98</v>
      </c>
      <c r="AI60" s="111" t="s">
        <v>98</v>
      </c>
      <c r="AJ60" s="111" t="s">
        <v>98</v>
      </c>
      <c r="AK60" s="111" t="s">
        <v>98</v>
      </c>
      <c r="AL60" s="111" t="s">
        <v>98</v>
      </c>
      <c r="AM60" s="111" t="s">
        <v>98</v>
      </c>
      <c r="AN60" s="111" t="s">
        <v>98</v>
      </c>
      <c r="AO60" s="111" t="s">
        <v>98</v>
      </c>
      <c r="AP60" s="93"/>
      <c r="AQ60" s="93" t="s">
        <v>125</v>
      </c>
      <c r="AR60" s="93" t="s">
        <v>125</v>
      </c>
      <c r="AS60" s="95"/>
      <c r="AT60" s="111" t="s">
        <v>98</v>
      </c>
      <c r="AU60" s="111" t="s">
        <v>98</v>
      </c>
      <c r="AV60" s="111" t="s">
        <v>98</v>
      </c>
      <c r="AW60" s="111" t="s">
        <v>98</v>
      </c>
      <c r="AX60" s="111" t="s">
        <v>113</v>
      </c>
      <c r="AY60" s="93"/>
      <c r="AZ60" s="95"/>
      <c r="BA60" s="95"/>
    </row>
    <row r="61" ht="30.75" customHeight="1">
      <c r="A61" s="93"/>
      <c r="B61" s="94" t="s">
        <v>82</v>
      </c>
      <c r="C61" s="94" t="s">
        <v>83</v>
      </c>
      <c r="D61" s="93">
        <v>24.0</v>
      </c>
      <c r="E61" s="93" t="s">
        <v>84</v>
      </c>
      <c r="F61" s="93" t="s">
        <v>189</v>
      </c>
      <c r="G61" s="93" t="s">
        <v>86</v>
      </c>
      <c r="H61" s="93"/>
      <c r="I61" s="93" t="s">
        <v>88</v>
      </c>
      <c r="J61" s="93" t="s">
        <v>319</v>
      </c>
      <c r="K61" s="93" t="s">
        <v>192</v>
      </c>
      <c r="L61" s="93" t="s">
        <v>352</v>
      </c>
      <c r="M61" s="93">
        <v>96267.0</v>
      </c>
      <c r="N61" s="93" t="s">
        <v>321</v>
      </c>
      <c r="O61" s="93" t="s">
        <v>94</v>
      </c>
      <c r="P61" s="93">
        <v>12.0</v>
      </c>
      <c r="Q61" s="93">
        <v>1.0</v>
      </c>
      <c r="R61" s="93" t="s">
        <v>98</v>
      </c>
      <c r="S61" s="93" t="s">
        <v>98</v>
      </c>
      <c r="T61" s="93" t="s">
        <v>98</v>
      </c>
      <c r="U61" s="93" t="s">
        <v>98</v>
      </c>
      <c r="V61" s="93" t="s">
        <v>98</v>
      </c>
      <c r="W61" s="93" t="s">
        <v>98</v>
      </c>
      <c r="X61" s="93" t="s">
        <v>98</v>
      </c>
      <c r="Y61" s="93" t="s">
        <v>98</v>
      </c>
      <c r="Z61" s="93" t="s">
        <v>98</v>
      </c>
      <c r="AA61" s="93" t="s">
        <v>98</v>
      </c>
      <c r="AB61" s="93" t="s">
        <v>98</v>
      </c>
      <c r="AC61" s="93" t="s">
        <v>98</v>
      </c>
      <c r="AD61" s="93" t="s">
        <v>98</v>
      </c>
      <c r="AE61" s="93" t="s">
        <v>98</v>
      </c>
      <c r="AF61" s="93" t="s">
        <v>98</v>
      </c>
      <c r="AG61" s="93" t="s">
        <v>98</v>
      </c>
      <c r="AH61" s="93" t="s">
        <v>98</v>
      </c>
      <c r="AI61" s="93" t="s">
        <v>98</v>
      </c>
      <c r="AJ61" s="93" t="s">
        <v>98</v>
      </c>
      <c r="AK61" s="93" t="s">
        <v>98</v>
      </c>
      <c r="AL61" s="93" t="s">
        <v>98</v>
      </c>
      <c r="AM61" s="93" t="s">
        <v>98</v>
      </c>
      <c r="AN61" s="93" t="s">
        <v>98</v>
      </c>
      <c r="AO61" s="93" t="s">
        <v>98</v>
      </c>
      <c r="AP61" s="93" t="str">
        <f>#REF!</f>
        <v>#REF!</v>
      </c>
      <c r="AQ61" s="95" t="s">
        <v>98</v>
      </c>
      <c r="AR61" s="95" t="s">
        <v>98</v>
      </c>
      <c r="AS61" s="95" t="str">
        <f>DATE(YEAR(AQ61),MONTH(AQ61)+P61,DAY(AQ61))</f>
        <v>#VALUE!</v>
      </c>
      <c r="AT61" s="95" t="s">
        <v>98</v>
      </c>
      <c r="AU61" s="95" t="s">
        <v>98</v>
      </c>
      <c r="AV61" s="95" t="s">
        <v>98</v>
      </c>
      <c r="AW61" s="95" t="s">
        <v>98</v>
      </c>
      <c r="AX61" s="93" t="s">
        <v>113</v>
      </c>
      <c r="AY61" s="93" t="str">
        <f>#REF!</f>
        <v>#REF!</v>
      </c>
      <c r="AZ61" s="95">
        <f>TODAY()</f>
        <v>46171</v>
      </c>
      <c r="BA61" s="95"/>
    </row>
    <row r="62" ht="30.75" customHeight="1">
      <c r="A62" s="93" t="s">
        <v>106</v>
      </c>
      <c r="B62" s="94" t="s">
        <v>82</v>
      </c>
      <c r="C62" s="94" t="s">
        <v>83</v>
      </c>
      <c r="D62" s="93">
        <v>3.0</v>
      </c>
      <c r="E62" s="93" t="s">
        <v>173</v>
      </c>
      <c r="F62" s="93" t="s">
        <v>353</v>
      </c>
      <c r="G62" s="93" t="s">
        <v>86</v>
      </c>
      <c r="H62" s="113" t="s">
        <v>354</v>
      </c>
      <c r="I62" s="93"/>
      <c r="J62" s="93" t="s">
        <v>319</v>
      </c>
      <c r="K62" s="93" t="s">
        <v>192</v>
      </c>
      <c r="L62" s="93" t="s">
        <v>355</v>
      </c>
      <c r="M62" s="93">
        <v>139861.0</v>
      </c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5"/>
      <c r="AR62" s="95"/>
      <c r="AS62" s="95"/>
      <c r="AT62" s="95"/>
      <c r="AU62" s="95"/>
      <c r="AV62" s="95"/>
      <c r="AW62" s="95"/>
      <c r="AX62" s="93"/>
      <c r="AY62" s="93"/>
      <c r="AZ62" s="95"/>
      <c r="BA62" s="95"/>
    </row>
    <row r="63" ht="30.75" customHeight="1">
      <c r="A63" s="93" t="s">
        <v>106</v>
      </c>
      <c r="B63" s="94" t="s">
        <v>82</v>
      </c>
      <c r="C63" s="94" t="s">
        <v>83</v>
      </c>
      <c r="D63" s="93">
        <v>3.0</v>
      </c>
      <c r="E63" s="93" t="s">
        <v>173</v>
      </c>
      <c r="F63" s="93" t="s">
        <v>356</v>
      </c>
      <c r="G63" s="93" t="s">
        <v>86</v>
      </c>
      <c r="H63" s="113" t="s">
        <v>357</v>
      </c>
      <c r="I63" s="93"/>
      <c r="J63" s="93" t="s">
        <v>319</v>
      </c>
      <c r="K63" s="93" t="s">
        <v>192</v>
      </c>
      <c r="L63" s="93" t="s">
        <v>355</v>
      </c>
      <c r="M63" s="93" t="s">
        <v>98</v>
      </c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5"/>
      <c r="AR63" s="95"/>
      <c r="AS63" s="95"/>
      <c r="AT63" s="95"/>
      <c r="AU63" s="95"/>
      <c r="AV63" s="95"/>
      <c r="AW63" s="95"/>
      <c r="AX63" s="93"/>
      <c r="AY63" s="93"/>
      <c r="AZ63" s="95"/>
      <c r="BA63" s="95"/>
    </row>
    <row r="64" ht="30.75" customHeight="1">
      <c r="A64" s="93" t="s">
        <v>114</v>
      </c>
      <c r="B64" s="94"/>
      <c r="C64" s="93" t="s">
        <v>206</v>
      </c>
      <c r="D64" s="93">
        <v>2.0</v>
      </c>
      <c r="E64" s="93" t="s">
        <v>116</v>
      </c>
      <c r="F64" s="93" t="s">
        <v>358</v>
      </c>
      <c r="G64" s="93" t="s">
        <v>86</v>
      </c>
      <c r="H64" s="93" t="s">
        <v>359</v>
      </c>
      <c r="I64" s="93" t="s">
        <v>88</v>
      </c>
      <c r="J64" s="93" t="s">
        <v>360</v>
      </c>
      <c r="K64" s="93" t="s">
        <v>361</v>
      </c>
      <c r="L64" s="93" t="s">
        <v>362</v>
      </c>
      <c r="M64" s="102" t="s">
        <v>122</v>
      </c>
      <c r="N64" s="93" t="s">
        <v>123</v>
      </c>
      <c r="O64" s="93" t="s">
        <v>124</v>
      </c>
      <c r="P64" s="93">
        <v>4.0</v>
      </c>
      <c r="Q64" s="93" t="s">
        <v>98</v>
      </c>
      <c r="R64" s="93"/>
      <c r="S64" s="93"/>
      <c r="T64" s="93">
        <v>1.0</v>
      </c>
      <c r="U64" s="93" t="s">
        <v>98</v>
      </c>
      <c r="V64" s="93"/>
      <c r="W64" s="93"/>
      <c r="X64" s="93"/>
      <c r="Y64" s="93"/>
      <c r="Z64" s="93">
        <v>1.0</v>
      </c>
      <c r="AA64" s="93" t="s">
        <v>98</v>
      </c>
      <c r="AB64" s="93"/>
      <c r="AC64" s="93"/>
      <c r="AD64" s="93"/>
      <c r="AE64" s="93"/>
      <c r="AF64" s="93">
        <v>1.0</v>
      </c>
      <c r="AG64" s="93" t="s">
        <v>98</v>
      </c>
      <c r="AH64" s="93"/>
      <c r="AI64" s="93"/>
      <c r="AJ64" s="93"/>
      <c r="AK64" s="93"/>
      <c r="AL64" s="93">
        <v>1.0</v>
      </c>
      <c r="AM64" s="93" t="s">
        <v>98</v>
      </c>
      <c r="AN64" s="93"/>
      <c r="AO64" s="93"/>
      <c r="AP64" s="93"/>
      <c r="AQ64" s="93" t="s">
        <v>125</v>
      </c>
      <c r="AR64" s="93" t="s">
        <v>125</v>
      </c>
      <c r="AS64" s="95" t="str">
        <f t="shared" ref="AS64:AS67" si="24">DATE(YEAR(AQ64),MONTH(AQ64)+Q64,DAY(AQ64))</f>
        <v>#VALUE!</v>
      </c>
      <c r="AT64" s="93" t="s">
        <v>98</v>
      </c>
      <c r="AU64" s="103"/>
      <c r="AV64" s="93" t="s">
        <v>98</v>
      </c>
      <c r="AW64" s="103"/>
      <c r="AX64" s="93" t="s">
        <v>99</v>
      </c>
      <c r="AY64" s="93" t="str">
        <f t="shared" ref="AY64:AY77" si="25">#REF!</f>
        <v>#REF!</v>
      </c>
      <c r="AZ64" s="95">
        <f t="shared" ref="AZ64:AZ77" si="26">TODAY()</f>
        <v>46171</v>
      </c>
      <c r="BA64" s="93"/>
    </row>
    <row r="65" ht="30.75" customHeight="1">
      <c r="A65" s="93" t="s">
        <v>114</v>
      </c>
      <c r="B65" s="94"/>
      <c r="C65" s="93" t="s">
        <v>206</v>
      </c>
      <c r="D65" s="93">
        <v>3.0</v>
      </c>
      <c r="E65" s="93" t="s">
        <v>116</v>
      </c>
      <c r="F65" s="93" t="s">
        <v>358</v>
      </c>
      <c r="G65" s="93" t="s">
        <v>86</v>
      </c>
      <c r="H65" s="93" t="s">
        <v>363</v>
      </c>
      <c r="I65" s="93" t="s">
        <v>88</v>
      </c>
      <c r="J65" s="93" t="s">
        <v>364</v>
      </c>
      <c r="K65" s="93" t="s">
        <v>358</v>
      </c>
      <c r="L65" s="93" t="s">
        <v>365</v>
      </c>
      <c r="M65" s="102" t="s">
        <v>366</v>
      </c>
      <c r="N65" s="93" t="s">
        <v>123</v>
      </c>
      <c r="O65" s="93" t="s">
        <v>124</v>
      </c>
      <c r="P65" s="93">
        <v>1.0</v>
      </c>
      <c r="Q65" s="93" t="s">
        <v>98</v>
      </c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>
        <v>1.0</v>
      </c>
      <c r="AE65" s="93" t="s">
        <v>98</v>
      </c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 t="s">
        <v>125</v>
      </c>
      <c r="AR65" s="93" t="s">
        <v>125</v>
      </c>
      <c r="AS65" s="95" t="str">
        <f t="shared" si="24"/>
        <v>#VALUE!</v>
      </c>
      <c r="AT65" s="93" t="s">
        <v>98</v>
      </c>
      <c r="AU65" s="103"/>
      <c r="AV65" s="93" t="s">
        <v>98</v>
      </c>
      <c r="AW65" s="103"/>
      <c r="AX65" s="93" t="s">
        <v>99</v>
      </c>
      <c r="AY65" s="93" t="str">
        <f t="shared" si="25"/>
        <v>#REF!</v>
      </c>
      <c r="AZ65" s="95">
        <f t="shared" si="26"/>
        <v>46171</v>
      </c>
      <c r="BA65" s="93"/>
    </row>
    <row r="66" ht="30.75" customHeight="1">
      <c r="A66" s="93" t="s">
        <v>81</v>
      </c>
      <c r="B66" s="94" t="s">
        <v>107</v>
      </c>
      <c r="C66" s="93" t="s">
        <v>206</v>
      </c>
      <c r="D66" s="93">
        <v>4.0</v>
      </c>
      <c r="E66" s="93" t="s">
        <v>116</v>
      </c>
      <c r="F66" s="93" t="s">
        <v>98</v>
      </c>
      <c r="G66" s="93" t="s">
        <v>86</v>
      </c>
      <c r="H66" s="93" t="s">
        <v>367</v>
      </c>
      <c r="I66" s="93" t="s">
        <v>118</v>
      </c>
      <c r="J66" s="93" t="s">
        <v>368</v>
      </c>
      <c r="K66" s="93" t="s">
        <v>170</v>
      </c>
      <c r="L66" s="93" t="s">
        <v>369</v>
      </c>
      <c r="M66" s="102" t="s">
        <v>370</v>
      </c>
      <c r="N66" s="93" t="s">
        <v>123</v>
      </c>
      <c r="O66" s="93" t="s">
        <v>124</v>
      </c>
      <c r="P66" s="93">
        <v>12.0</v>
      </c>
      <c r="Q66" s="93" t="s">
        <v>98</v>
      </c>
      <c r="R66" s="93">
        <v>1.0</v>
      </c>
      <c r="S66" s="93" t="s">
        <v>98</v>
      </c>
      <c r="T66" s="93">
        <v>1.0</v>
      </c>
      <c r="U66" s="93" t="s">
        <v>98</v>
      </c>
      <c r="V66" s="93">
        <v>1.0</v>
      </c>
      <c r="W66" s="93" t="s">
        <v>98</v>
      </c>
      <c r="X66" s="93">
        <v>1.0</v>
      </c>
      <c r="Y66" s="93" t="s">
        <v>98</v>
      </c>
      <c r="Z66" s="93">
        <v>1.0</v>
      </c>
      <c r="AA66" s="93" t="s">
        <v>98</v>
      </c>
      <c r="AB66" s="93">
        <v>1.0</v>
      </c>
      <c r="AC66" s="93" t="s">
        <v>98</v>
      </c>
      <c r="AD66" s="93">
        <v>1.0</v>
      </c>
      <c r="AE66" s="93" t="s">
        <v>98</v>
      </c>
      <c r="AF66" s="93">
        <v>1.0</v>
      </c>
      <c r="AG66" s="93" t="s">
        <v>98</v>
      </c>
      <c r="AH66" s="93">
        <v>1.0</v>
      </c>
      <c r="AI66" s="93" t="s">
        <v>98</v>
      </c>
      <c r="AJ66" s="93">
        <v>1.0</v>
      </c>
      <c r="AK66" s="93" t="s">
        <v>98</v>
      </c>
      <c r="AL66" s="93">
        <v>1.0</v>
      </c>
      <c r="AM66" s="93" t="s">
        <v>98</v>
      </c>
      <c r="AN66" s="93">
        <v>1.0</v>
      </c>
      <c r="AO66" s="93" t="s">
        <v>98</v>
      </c>
      <c r="AP66" s="93"/>
      <c r="AQ66" s="93" t="s">
        <v>125</v>
      </c>
      <c r="AR66" s="93" t="s">
        <v>125</v>
      </c>
      <c r="AS66" s="95" t="str">
        <f t="shared" si="24"/>
        <v>#VALUE!</v>
      </c>
      <c r="AT66" s="93" t="s">
        <v>98</v>
      </c>
      <c r="AU66" s="103"/>
      <c r="AV66" s="93" t="s">
        <v>98</v>
      </c>
      <c r="AW66" s="103"/>
      <c r="AX66" s="93" t="s">
        <v>99</v>
      </c>
      <c r="AY66" s="93" t="str">
        <f t="shared" si="25"/>
        <v>#REF!</v>
      </c>
      <c r="AZ66" s="95">
        <f t="shared" si="26"/>
        <v>46171</v>
      </c>
      <c r="BA66" s="93"/>
    </row>
    <row r="67" ht="30.75" customHeight="1">
      <c r="A67" s="93" t="s">
        <v>81</v>
      </c>
      <c r="B67" s="94" t="s">
        <v>107</v>
      </c>
      <c r="C67" s="93" t="s">
        <v>206</v>
      </c>
      <c r="D67" s="93">
        <v>5.0</v>
      </c>
      <c r="E67" s="93" t="s">
        <v>116</v>
      </c>
      <c r="F67" s="93" t="s">
        <v>98</v>
      </c>
      <c r="G67" s="93" t="s">
        <v>86</v>
      </c>
      <c r="H67" s="93" t="s">
        <v>371</v>
      </c>
      <c r="I67" s="93" t="s">
        <v>118</v>
      </c>
      <c r="J67" s="93" t="s">
        <v>368</v>
      </c>
      <c r="K67" s="93" t="s">
        <v>170</v>
      </c>
      <c r="L67" s="93" t="s">
        <v>372</v>
      </c>
      <c r="M67" s="102" t="s">
        <v>370</v>
      </c>
      <c r="N67" s="93" t="s">
        <v>123</v>
      </c>
      <c r="O67" s="93" t="s">
        <v>124</v>
      </c>
      <c r="P67" s="93">
        <v>12.0</v>
      </c>
      <c r="Q67" s="93" t="s">
        <v>98</v>
      </c>
      <c r="R67" s="93">
        <v>1.0</v>
      </c>
      <c r="S67" s="93" t="s">
        <v>98</v>
      </c>
      <c r="T67" s="93">
        <v>1.0</v>
      </c>
      <c r="U67" s="93" t="s">
        <v>98</v>
      </c>
      <c r="V67" s="93">
        <v>1.0</v>
      </c>
      <c r="W67" s="93" t="s">
        <v>98</v>
      </c>
      <c r="X67" s="93">
        <v>1.0</v>
      </c>
      <c r="Y67" s="93" t="s">
        <v>98</v>
      </c>
      <c r="Z67" s="93">
        <v>1.0</v>
      </c>
      <c r="AA67" s="93" t="s">
        <v>98</v>
      </c>
      <c r="AB67" s="93">
        <v>1.0</v>
      </c>
      <c r="AC67" s="93" t="s">
        <v>98</v>
      </c>
      <c r="AD67" s="93">
        <v>1.0</v>
      </c>
      <c r="AE67" s="93" t="s">
        <v>98</v>
      </c>
      <c r="AF67" s="93">
        <v>1.0</v>
      </c>
      <c r="AG67" s="93" t="s">
        <v>98</v>
      </c>
      <c r="AH67" s="93">
        <v>1.0</v>
      </c>
      <c r="AI67" s="93" t="s">
        <v>98</v>
      </c>
      <c r="AJ67" s="93">
        <v>1.0</v>
      </c>
      <c r="AK67" s="93" t="s">
        <v>98</v>
      </c>
      <c r="AL67" s="93">
        <v>1.0</v>
      </c>
      <c r="AM67" s="93" t="s">
        <v>98</v>
      </c>
      <c r="AN67" s="93">
        <v>1.0</v>
      </c>
      <c r="AO67" s="93" t="s">
        <v>98</v>
      </c>
      <c r="AP67" s="93"/>
      <c r="AQ67" s="93" t="s">
        <v>125</v>
      </c>
      <c r="AR67" s="93" t="s">
        <v>125</v>
      </c>
      <c r="AS67" s="95" t="str">
        <f t="shared" si="24"/>
        <v>#VALUE!</v>
      </c>
      <c r="AT67" s="93" t="s">
        <v>98</v>
      </c>
      <c r="AU67" s="103"/>
      <c r="AV67" s="93" t="s">
        <v>98</v>
      </c>
      <c r="AW67" s="103"/>
      <c r="AX67" s="93" t="s">
        <v>99</v>
      </c>
      <c r="AY67" s="93" t="str">
        <f t="shared" si="25"/>
        <v>#REF!</v>
      </c>
      <c r="AZ67" s="95">
        <f t="shared" si="26"/>
        <v>46171</v>
      </c>
      <c r="BA67" s="93"/>
    </row>
    <row r="68" ht="30.75" customHeight="1">
      <c r="A68" s="93" t="s">
        <v>114</v>
      </c>
      <c r="B68" s="94"/>
      <c r="C68" s="93" t="s">
        <v>206</v>
      </c>
      <c r="D68" s="93">
        <v>6.0</v>
      </c>
      <c r="E68" s="93" t="s">
        <v>116</v>
      </c>
      <c r="F68" s="93" t="s">
        <v>98</v>
      </c>
      <c r="G68" s="93" t="s">
        <v>86</v>
      </c>
      <c r="H68" s="93" t="s">
        <v>373</v>
      </c>
      <c r="I68" s="93" t="s">
        <v>118</v>
      </c>
      <c r="J68" s="93" t="s">
        <v>374</v>
      </c>
      <c r="K68" s="93" t="s">
        <v>170</v>
      </c>
      <c r="L68" s="93" t="s">
        <v>375</v>
      </c>
      <c r="M68" s="102" t="s">
        <v>122</v>
      </c>
      <c r="N68" s="93" t="s">
        <v>123</v>
      </c>
      <c r="O68" s="93" t="s">
        <v>124</v>
      </c>
      <c r="P68" s="93">
        <v>4.0</v>
      </c>
      <c r="Q68" s="93">
        <v>1.0</v>
      </c>
      <c r="R68" s="93"/>
      <c r="S68" s="93"/>
      <c r="T68" s="93">
        <v>1.0</v>
      </c>
      <c r="U68" s="93">
        <v>1.0</v>
      </c>
      <c r="V68" s="93"/>
      <c r="W68" s="93"/>
      <c r="X68" s="93"/>
      <c r="Y68" s="93"/>
      <c r="Z68" s="93">
        <v>1.0</v>
      </c>
      <c r="AA68" s="93" t="s">
        <v>98</v>
      </c>
      <c r="AB68" s="93"/>
      <c r="AC68" s="93"/>
      <c r="AD68" s="93"/>
      <c r="AE68" s="93"/>
      <c r="AF68" s="93">
        <v>1.0</v>
      </c>
      <c r="AG68" s="93" t="s">
        <v>98</v>
      </c>
      <c r="AH68" s="93"/>
      <c r="AI68" s="93"/>
      <c r="AJ68" s="93"/>
      <c r="AK68" s="93"/>
      <c r="AL68" s="93">
        <v>1.0</v>
      </c>
      <c r="AM68" s="93" t="s">
        <v>98</v>
      </c>
      <c r="AN68" s="93"/>
      <c r="AO68" s="93"/>
      <c r="AP68" s="93"/>
      <c r="AQ68" s="95">
        <v>45139.0</v>
      </c>
      <c r="AR68" s="95">
        <v>45139.0</v>
      </c>
      <c r="AS68" s="95">
        <f t="shared" ref="AS68:AS69" si="27">DATE(YEAR(AQ68),MONTH(AQ68)+3,DAY(AQ68))</f>
        <v>45231</v>
      </c>
      <c r="AT68" s="93" t="s">
        <v>98</v>
      </c>
      <c r="AU68" s="103"/>
      <c r="AV68" s="93" t="s">
        <v>98</v>
      </c>
      <c r="AW68" s="103"/>
      <c r="AX68" s="93" t="s">
        <v>99</v>
      </c>
      <c r="AY68" s="93" t="str">
        <f t="shared" si="25"/>
        <v>#REF!</v>
      </c>
      <c r="AZ68" s="95">
        <f t="shared" si="26"/>
        <v>46171</v>
      </c>
      <c r="BA68" s="93"/>
    </row>
    <row r="69" ht="30.75" customHeight="1">
      <c r="A69" s="93" t="s">
        <v>114</v>
      </c>
      <c r="B69" s="94"/>
      <c r="C69" s="93" t="s">
        <v>206</v>
      </c>
      <c r="D69" s="93">
        <v>7.0</v>
      </c>
      <c r="E69" s="93" t="s">
        <v>116</v>
      </c>
      <c r="F69" s="93" t="s">
        <v>98</v>
      </c>
      <c r="G69" s="93" t="s">
        <v>86</v>
      </c>
      <c r="H69" s="93" t="s">
        <v>376</v>
      </c>
      <c r="I69" s="93" t="s">
        <v>118</v>
      </c>
      <c r="J69" s="93" t="s">
        <v>374</v>
      </c>
      <c r="K69" s="93" t="s">
        <v>170</v>
      </c>
      <c r="L69" s="93" t="s">
        <v>377</v>
      </c>
      <c r="M69" s="102" t="s">
        <v>122</v>
      </c>
      <c r="N69" s="93" t="s">
        <v>123</v>
      </c>
      <c r="O69" s="93" t="s">
        <v>124</v>
      </c>
      <c r="P69" s="93">
        <v>4.0</v>
      </c>
      <c r="Q69" s="93">
        <v>1.0</v>
      </c>
      <c r="R69" s="93"/>
      <c r="S69" s="93"/>
      <c r="T69" s="93"/>
      <c r="U69" s="93"/>
      <c r="V69" s="93">
        <v>1.0</v>
      </c>
      <c r="W69" s="93" t="s">
        <v>98</v>
      </c>
      <c r="X69" s="93"/>
      <c r="Y69" s="93"/>
      <c r="Z69" s="93"/>
      <c r="AA69" s="93"/>
      <c r="AB69" s="93">
        <v>1.0</v>
      </c>
      <c r="AC69" s="93" t="s">
        <v>98</v>
      </c>
      <c r="AD69" s="93"/>
      <c r="AE69" s="93"/>
      <c r="AF69" s="93"/>
      <c r="AG69" s="93"/>
      <c r="AH69" s="93">
        <v>1.0</v>
      </c>
      <c r="AI69" s="93" t="s">
        <v>98</v>
      </c>
      <c r="AJ69" s="93"/>
      <c r="AK69" s="93"/>
      <c r="AL69" s="93"/>
      <c r="AM69" s="93"/>
      <c r="AN69" s="93">
        <v>1.0</v>
      </c>
      <c r="AO69" s="93" t="s">
        <v>98</v>
      </c>
      <c r="AP69" s="93"/>
      <c r="AQ69" s="95">
        <v>45078.0</v>
      </c>
      <c r="AR69" s="95">
        <v>45078.0</v>
      </c>
      <c r="AS69" s="95">
        <f t="shared" si="27"/>
        <v>45170</v>
      </c>
      <c r="AT69" s="93" t="s">
        <v>98</v>
      </c>
      <c r="AU69" s="103"/>
      <c r="AV69" s="93" t="s">
        <v>98</v>
      </c>
      <c r="AW69" s="103"/>
      <c r="AX69" s="93" t="s">
        <v>99</v>
      </c>
      <c r="AY69" s="93" t="str">
        <f t="shared" si="25"/>
        <v>#REF!</v>
      </c>
      <c r="AZ69" s="95">
        <f t="shared" si="26"/>
        <v>46171</v>
      </c>
      <c r="BA69" s="93"/>
    </row>
    <row r="70" ht="30.75" customHeight="1">
      <c r="A70" s="93" t="s">
        <v>81</v>
      </c>
      <c r="B70" s="94" t="s">
        <v>107</v>
      </c>
      <c r="C70" s="93" t="s">
        <v>206</v>
      </c>
      <c r="D70" s="93">
        <v>8.0</v>
      </c>
      <c r="E70" s="93" t="s">
        <v>116</v>
      </c>
      <c r="F70" s="93" t="s">
        <v>358</v>
      </c>
      <c r="G70" s="93" t="s">
        <v>86</v>
      </c>
      <c r="H70" s="93" t="s">
        <v>378</v>
      </c>
      <c r="I70" s="93" t="s">
        <v>118</v>
      </c>
      <c r="J70" s="93" t="s">
        <v>379</v>
      </c>
      <c r="K70" s="93" t="s">
        <v>380</v>
      </c>
      <c r="L70" s="93" t="s">
        <v>381</v>
      </c>
      <c r="M70" s="102" t="s">
        <v>382</v>
      </c>
      <c r="N70" s="93" t="s">
        <v>123</v>
      </c>
      <c r="O70" s="93" t="s">
        <v>124</v>
      </c>
      <c r="P70" s="93">
        <v>1.0</v>
      </c>
      <c r="Q70" s="93" t="s">
        <v>98</v>
      </c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>
        <v>1.0</v>
      </c>
      <c r="AG70" s="93" t="s">
        <v>98</v>
      </c>
      <c r="AH70" s="93"/>
      <c r="AI70" s="93"/>
      <c r="AJ70" s="93"/>
      <c r="AK70" s="93"/>
      <c r="AL70" s="93"/>
      <c r="AM70" s="93"/>
      <c r="AN70" s="93"/>
      <c r="AO70" s="93"/>
      <c r="AP70" s="93"/>
      <c r="AQ70" s="95">
        <v>45139.0</v>
      </c>
      <c r="AR70" s="95">
        <v>45139.0</v>
      </c>
      <c r="AS70" s="95">
        <f t="shared" ref="AS70:AS71" si="28">DATE(YEAR(AQ70),MONTH(AQ70)+12,DAY(AQ70))</f>
        <v>45505</v>
      </c>
      <c r="AT70" s="93" t="s">
        <v>98</v>
      </c>
      <c r="AU70" s="103"/>
      <c r="AV70" s="93" t="s">
        <v>98</v>
      </c>
      <c r="AW70" s="103"/>
      <c r="AX70" s="93" t="s">
        <v>99</v>
      </c>
      <c r="AY70" s="93" t="str">
        <f t="shared" si="25"/>
        <v>#REF!</v>
      </c>
      <c r="AZ70" s="95">
        <f t="shared" si="26"/>
        <v>46171</v>
      </c>
      <c r="BA70" s="93"/>
    </row>
    <row r="71" ht="30.75" customHeight="1">
      <c r="A71" s="93" t="s">
        <v>81</v>
      </c>
      <c r="B71" s="94" t="s">
        <v>107</v>
      </c>
      <c r="C71" s="93" t="s">
        <v>206</v>
      </c>
      <c r="D71" s="93">
        <v>9.0</v>
      </c>
      <c r="E71" s="93" t="s">
        <v>116</v>
      </c>
      <c r="F71" s="93" t="s">
        <v>358</v>
      </c>
      <c r="G71" s="93" t="s">
        <v>86</v>
      </c>
      <c r="H71" s="93" t="s">
        <v>383</v>
      </c>
      <c r="I71" s="93" t="s">
        <v>118</v>
      </c>
      <c r="J71" s="93" t="s">
        <v>379</v>
      </c>
      <c r="K71" s="93" t="s">
        <v>380</v>
      </c>
      <c r="L71" s="93" t="s">
        <v>384</v>
      </c>
      <c r="M71" s="102" t="s">
        <v>382</v>
      </c>
      <c r="N71" s="93" t="s">
        <v>123</v>
      </c>
      <c r="O71" s="93" t="s">
        <v>124</v>
      </c>
      <c r="P71" s="93">
        <v>1.0</v>
      </c>
      <c r="Q71" s="93" t="s">
        <v>98</v>
      </c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>
        <v>1.0</v>
      </c>
      <c r="AG71" s="93" t="s">
        <v>98</v>
      </c>
      <c r="AH71" s="93"/>
      <c r="AI71" s="93"/>
      <c r="AJ71" s="93"/>
      <c r="AK71" s="93"/>
      <c r="AL71" s="93"/>
      <c r="AM71" s="93"/>
      <c r="AN71" s="93"/>
      <c r="AO71" s="93"/>
      <c r="AP71" s="93"/>
      <c r="AQ71" s="95">
        <v>45139.0</v>
      </c>
      <c r="AR71" s="95">
        <v>45139.0</v>
      </c>
      <c r="AS71" s="95">
        <f t="shared" si="28"/>
        <v>45505</v>
      </c>
      <c r="AT71" s="93" t="s">
        <v>98</v>
      </c>
      <c r="AU71" s="103"/>
      <c r="AV71" s="93" t="s">
        <v>98</v>
      </c>
      <c r="AW71" s="103"/>
      <c r="AX71" s="93" t="s">
        <v>99</v>
      </c>
      <c r="AY71" s="93" t="str">
        <f t="shared" si="25"/>
        <v>#REF!</v>
      </c>
      <c r="AZ71" s="95">
        <f t="shared" si="26"/>
        <v>46171</v>
      </c>
      <c r="BA71" s="93"/>
    </row>
    <row r="72" ht="30.75" customHeight="1">
      <c r="A72" s="93" t="s">
        <v>114</v>
      </c>
      <c r="B72" s="94"/>
      <c r="C72" s="93" t="s">
        <v>206</v>
      </c>
      <c r="D72" s="93">
        <v>10.0</v>
      </c>
      <c r="E72" s="93" t="s">
        <v>116</v>
      </c>
      <c r="F72" s="93" t="s">
        <v>98</v>
      </c>
      <c r="G72" s="93" t="s">
        <v>86</v>
      </c>
      <c r="H72" s="93" t="s">
        <v>385</v>
      </c>
      <c r="I72" s="93" t="s">
        <v>88</v>
      </c>
      <c r="J72" s="93" t="s">
        <v>386</v>
      </c>
      <c r="K72" s="93" t="s">
        <v>170</v>
      </c>
      <c r="L72" s="93" t="s">
        <v>387</v>
      </c>
      <c r="M72" s="102" t="s">
        <v>122</v>
      </c>
      <c r="N72" s="93" t="s">
        <v>123</v>
      </c>
      <c r="O72" s="93" t="s">
        <v>124</v>
      </c>
      <c r="P72" s="93">
        <v>4.0</v>
      </c>
      <c r="Q72" s="93" t="s">
        <v>98</v>
      </c>
      <c r="R72" s="93"/>
      <c r="S72" s="93"/>
      <c r="T72" s="93">
        <v>1.0</v>
      </c>
      <c r="U72" s="93" t="s">
        <v>98</v>
      </c>
      <c r="V72" s="93"/>
      <c r="W72" s="93"/>
      <c r="X72" s="93"/>
      <c r="Y72" s="93"/>
      <c r="Z72" s="93">
        <v>1.0</v>
      </c>
      <c r="AA72" s="93" t="s">
        <v>98</v>
      </c>
      <c r="AB72" s="93"/>
      <c r="AC72" s="93"/>
      <c r="AD72" s="93"/>
      <c r="AE72" s="93"/>
      <c r="AF72" s="93">
        <v>1.0</v>
      </c>
      <c r="AG72" s="93" t="s">
        <v>98</v>
      </c>
      <c r="AH72" s="93"/>
      <c r="AI72" s="93"/>
      <c r="AJ72" s="93"/>
      <c r="AK72" s="93"/>
      <c r="AL72" s="93">
        <v>1.0</v>
      </c>
      <c r="AM72" s="93" t="s">
        <v>98</v>
      </c>
      <c r="AN72" s="93"/>
      <c r="AO72" s="93"/>
      <c r="AP72" s="93"/>
      <c r="AQ72" s="95">
        <v>45139.0</v>
      </c>
      <c r="AR72" s="95">
        <v>45139.0</v>
      </c>
      <c r="AS72" s="95">
        <f t="shared" ref="AS72:AS73" si="29">DATE(YEAR(AQ72),MONTH(AQ72)+3,DAY(AQ72))</f>
        <v>45231</v>
      </c>
      <c r="AT72" s="93" t="s">
        <v>98</v>
      </c>
      <c r="AU72" s="103"/>
      <c r="AV72" s="93" t="s">
        <v>98</v>
      </c>
      <c r="AW72" s="103"/>
      <c r="AX72" s="93" t="s">
        <v>99</v>
      </c>
      <c r="AY72" s="93" t="str">
        <f t="shared" si="25"/>
        <v>#REF!</v>
      </c>
      <c r="AZ72" s="95">
        <f t="shared" si="26"/>
        <v>46171</v>
      </c>
      <c r="BA72" s="93"/>
    </row>
    <row r="73" ht="30.75" customHeight="1">
      <c r="A73" s="93" t="s">
        <v>114</v>
      </c>
      <c r="B73" s="94"/>
      <c r="C73" s="93" t="s">
        <v>206</v>
      </c>
      <c r="D73" s="93">
        <v>11.0</v>
      </c>
      <c r="E73" s="93" t="s">
        <v>116</v>
      </c>
      <c r="F73" s="93" t="s">
        <v>358</v>
      </c>
      <c r="G73" s="93" t="s">
        <v>86</v>
      </c>
      <c r="H73" s="93" t="s">
        <v>388</v>
      </c>
      <c r="I73" s="93" t="s">
        <v>88</v>
      </c>
      <c r="J73" s="93" t="s">
        <v>386</v>
      </c>
      <c r="K73" s="93" t="s">
        <v>170</v>
      </c>
      <c r="L73" s="93" t="s">
        <v>389</v>
      </c>
      <c r="M73" s="102" t="s">
        <v>122</v>
      </c>
      <c r="N73" s="93" t="s">
        <v>123</v>
      </c>
      <c r="O73" s="93" t="s">
        <v>124</v>
      </c>
      <c r="P73" s="93">
        <v>4.0</v>
      </c>
      <c r="Q73" s="93" t="s">
        <v>98</v>
      </c>
      <c r="R73" s="93"/>
      <c r="S73" s="93"/>
      <c r="T73" s="93"/>
      <c r="U73" s="93"/>
      <c r="V73" s="93">
        <v>1.0</v>
      </c>
      <c r="W73" s="93" t="s">
        <v>98</v>
      </c>
      <c r="X73" s="93"/>
      <c r="Y73" s="93"/>
      <c r="Z73" s="93"/>
      <c r="AA73" s="93"/>
      <c r="AB73" s="93">
        <v>1.0</v>
      </c>
      <c r="AC73" s="93" t="s">
        <v>98</v>
      </c>
      <c r="AD73" s="93"/>
      <c r="AE73" s="93"/>
      <c r="AF73" s="93"/>
      <c r="AG73" s="93"/>
      <c r="AH73" s="93">
        <v>1.0</v>
      </c>
      <c r="AI73" s="93" t="s">
        <v>98</v>
      </c>
      <c r="AJ73" s="93"/>
      <c r="AK73" s="93"/>
      <c r="AL73" s="93"/>
      <c r="AM73" s="93"/>
      <c r="AN73" s="93">
        <v>1.0</v>
      </c>
      <c r="AO73" s="93" t="s">
        <v>98</v>
      </c>
      <c r="AP73" s="93"/>
      <c r="AQ73" s="95">
        <v>45078.0</v>
      </c>
      <c r="AR73" s="95">
        <v>45078.0</v>
      </c>
      <c r="AS73" s="95">
        <f t="shared" si="29"/>
        <v>45170</v>
      </c>
      <c r="AT73" s="93" t="s">
        <v>98</v>
      </c>
      <c r="AU73" s="103"/>
      <c r="AV73" s="93" t="s">
        <v>98</v>
      </c>
      <c r="AW73" s="103"/>
      <c r="AX73" s="93" t="s">
        <v>99</v>
      </c>
      <c r="AY73" s="93" t="str">
        <f t="shared" si="25"/>
        <v>#REF!</v>
      </c>
      <c r="AZ73" s="95">
        <f t="shared" si="26"/>
        <v>46171</v>
      </c>
      <c r="BA73" s="93"/>
    </row>
    <row r="74" ht="30.75" customHeight="1">
      <c r="A74" s="93" t="s">
        <v>106</v>
      </c>
      <c r="B74" s="94" t="s">
        <v>107</v>
      </c>
      <c r="C74" s="94" t="s">
        <v>206</v>
      </c>
      <c r="D74" s="94">
        <v>13.0</v>
      </c>
      <c r="E74" s="93" t="s">
        <v>116</v>
      </c>
      <c r="F74" s="93" t="s">
        <v>98</v>
      </c>
      <c r="G74" s="93" t="s">
        <v>86</v>
      </c>
      <c r="H74" s="93" t="s">
        <v>98</v>
      </c>
      <c r="I74" s="93"/>
      <c r="J74" s="93" t="s">
        <v>390</v>
      </c>
      <c r="K74" s="93" t="s">
        <v>127</v>
      </c>
      <c r="L74" s="93" t="s">
        <v>391</v>
      </c>
      <c r="M74" s="93" t="s">
        <v>392</v>
      </c>
      <c r="N74" s="93" t="s">
        <v>123</v>
      </c>
      <c r="O74" s="93" t="s">
        <v>124</v>
      </c>
      <c r="P74" s="104">
        <v>12.0</v>
      </c>
      <c r="Q74" s="93" t="s">
        <v>98</v>
      </c>
      <c r="R74" s="104">
        <v>1.0</v>
      </c>
      <c r="S74" s="93" t="s">
        <v>98</v>
      </c>
      <c r="T74" s="104">
        <v>1.0</v>
      </c>
      <c r="U74" s="93" t="s">
        <v>98</v>
      </c>
      <c r="V74" s="104">
        <v>1.0</v>
      </c>
      <c r="W74" s="93" t="s">
        <v>98</v>
      </c>
      <c r="X74" s="104">
        <v>1.0</v>
      </c>
      <c r="Y74" s="93" t="s">
        <v>98</v>
      </c>
      <c r="Z74" s="104">
        <v>1.0</v>
      </c>
      <c r="AA74" s="93" t="s">
        <v>98</v>
      </c>
      <c r="AB74" s="104">
        <v>1.0</v>
      </c>
      <c r="AC74" s="93" t="s">
        <v>98</v>
      </c>
      <c r="AD74" s="104">
        <v>1.0</v>
      </c>
      <c r="AE74" s="93" t="s">
        <v>98</v>
      </c>
      <c r="AF74" s="104">
        <v>1.0</v>
      </c>
      <c r="AG74" s="93" t="s">
        <v>98</v>
      </c>
      <c r="AH74" s="104">
        <v>1.0</v>
      </c>
      <c r="AI74" s="93" t="s">
        <v>98</v>
      </c>
      <c r="AJ74" s="104">
        <v>1.0</v>
      </c>
      <c r="AK74" s="93" t="s">
        <v>98</v>
      </c>
      <c r="AL74" s="104">
        <v>1.0</v>
      </c>
      <c r="AM74" s="93" t="s">
        <v>98</v>
      </c>
      <c r="AN74" s="104">
        <v>1.0</v>
      </c>
      <c r="AO74" s="93" t="s">
        <v>98</v>
      </c>
      <c r="AP74" s="103"/>
      <c r="AQ74" s="95" t="s">
        <v>125</v>
      </c>
      <c r="AR74" s="95" t="s">
        <v>125</v>
      </c>
      <c r="AS74" s="105" t="str">
        <f t="shared" ref="AS74:AS77" si="30">DATE(YEAR(AQ74),MONTH(AQ74)+Q74,DAY(AQ74))</f>
        <v>#VALUE!</v>
      </c>
      <c r="AT74" s="96" t="s">
        <v>98</v>
      </c>
      <c r="AU74" s="103"/>
      <c r="AV74" s="93" t="s">
        <v>98</v>
      </c>
      <c r="AW74" s="103"/>
      <c r="AX74" s="95" t="s">
        <v>99</v>
      </c>
      <c r="AY74" s="103" t="str">
        <f t="shared" si="25"/>
        <v>#REF!</v>
      </c>
      <c r="AZ74" s="106">
        <f t="shared" si="26"/>
        <v>46171</v>
      </c>
      <c r="BA74" s="107"/>
    </row>
    <row r="75" ht="30.75" customHeight="1">
      <c r="A75" s="93" t="s">
        <v>106</v>
      </c>
      <c r="B75" s="94" t="s">
        <v>107</v>
      </c>
      <c r="C75" s="94" t="s">
        <v>206</v>
      </c>
      <c r="D75" s="94">
        <v>13.0</v>
      </c>
      <c r="E75" s="93" t="s">
        <v>116</v>
      </c>
      <c r="F75" s="93" t="s">
        <v>98</v>
      </c>
      <c r="G75" s="93" t="s">
        <v>86</v>
      </c>
      <c r="H75" s="93" t="s">
        <v>98</v>
      </c>
      <c r="I75" s="93"/>
      <c r="J75" s="93" t="s">
        <v>390</v>
      </c>
      <c r="K75" s="93" t="s">
        <v>127</v>
      </c>
      <c r="L75" s="93" t="s">
        <v>393</v>
      </c>
      <c r="M75" s="93" t="s">
        <v>394</v>
      </c>
      <c r="N75" s="93" t="s">
        <v>123</v>
      </c>
      <c r="O75" s="93" t="s">
        <v>124</v>
      </c>
      <c r="P75" s="104">
        <v>12.0</v>
      </c>
      <c r="Q75" s="93" t="s">
        <v>98</v>
      </c>
      <c r="R75" s="104">
        <v>1.0</v>
      </c>
      <c r="S75" s="93" t="s">
        <v>98</v>
      </c>
      <c r="T75" s="104">
        <v>1.0</v>
      </c>
      <c r="U75" s="93" t="s">
        <v>98</v>
      </c>
      <c r="V75" s="104">
        <v>1.0</v>
      </c>
      <c r="W75" s="93" t="s">
        <v>98</v>
      </c>
      <c r="X75" s="104">
        <v>1.0</v>
      </c>
      <c r="Y75" s="93" t="s">
        <v>98</v>
      </c>
      <c r="Z75" s="104">
        <v>1.0</v>
      </c>
      <c r="AA75" s="93" t="s">
        <v>98</v>
      </c>
      <c r="AB75" s="104">
        <v>1.0</v>
      </c>
      <c r="AC75" s="93" t="s">
        <v>98</v>
      </c>
      <c r="AD75" s="104">
        <v>1.0</v>
      </c>
      <c r="AE75" s="93" t="s">
        <v>98</v>
      </c>
      <c r="AF75" s="104">
        <v>1.0</v>
      </c>
      <c r="AG75" s="93" t="s">
        <v>98</v>
      </c>
      <c r="AH75" s="104">
        <v>1.0</v>
      </c>
      <c r="AI75" s="93" t="s">
        <v>98</v>
      </c>
      <c r="AJ75" s="104">
        <v>1.0</v>
      </c>
      <c r="AK75" s="93" t="s">
        <v>98</v>
      </c>
      <c r="AL75" s="104">
        <v>1.0</v>
      </c>
      <c r="AM75" s="93" t="s">
        <v>98</v>
      </c>
      <c r="AN75" s="104">
        <v>1.0</v>
      </c>
      <c r="AO75" s="93" t="s">
        <v>98</v>
      </c>
      <c r="AP75" s="103"/>
      <c r="AQ75" s="95" t="s">
        <v>125</v>
      </c>
      <c r="AR75" s="95" t="s">
        <v>125</v>
      </c>
      <c r="AS75" s="105" t="str">
        <f t="shared" si="30"/>
        <v>#VALUE!</v>
      </c>
      <c r="AT75" s="96" t="s">
        <v>98</v>
      </c>
      <c r="AU75" s="103"/>
      <c r="AV75" s="93" t="s">
        <v>98</v>
      </c>
      <c r="AW75" s="103"/>
      <c r="AX75" s="95" t="s">
        <v>99</v>
      </c>
      <c r="AY75" s="103" t="str">
        <f t="shared" si="25"/>
        <v>#REF!</v>
      </c>
      <c r="AZ75" s="106">
        <f t="shared" si="26"/>
        <v>46171</v>
      </c>
      <c r="BA75" s="107"/>
    </row>
    <row r="76" ht="30.75" customHeight="1">
      <c r="A76" s="93" t="s">
        <v>106</v>
      </c>
      <c r="B76" s="94" t="s">
        <v>107</v>
      </c>
      <c r="C76" s="94" t="s">
        <v>206</v>
      </c>
      <c r="D76" s="94">
        <v>13.0</v>
      </c>
      <c r="E76" s="93" t="s">
        <v>116</v>
      </c>
      <c r="F76" s="93" t="s">
        <v>98</v>
      </c>
      <c r="G76" s="93" t="s">
        <v>86</v>
      </c>
      <c r="H76" s="93" t="s">
        <v>98</v>
      </c>
      <c r="I76" s="93"/>
      <c r="J76" s="93" t="s">
        <v>390</v>
      </c>
      <c r="K76" s="93" t="s">
        <v>127</v>
      </c>
      <c r="L76" s="93" t="s">
        <v>395</v>
      </c>
      <c r="M76" s="93" t="s">
        <v>396</v>
      </c>
      <c r="N76" s="93" t="s">
        <v>123</v>
      </c>
      <c r="O76" s="93" t="s">
        <v>124</v>
      </c>
      <c r="P76" s="104">
        <v>12.0</v>
      </c>
      <c r="Q76" s="93" t="s">
        <v>98</v>
      </c>
      <c r="R76" s="104">
        <v>1.0</v>
      </c>
      <c r="S76" s="93" t="s">
        <v>98</v>
      </c>
      <c r="T76" s="104">
        <v>1.0</v>
      </c>
      <c r="U76" s="93" t="s">
        <v>98</v>
      </c>
      <c r="V76" s="104">
        <v>1.0</v>
      </c>
      <c r="W76" s="93" t="s">
        <v>98</v>
      </c>
      <c r="X76" s="104">
        <v>1.0</v>
      </c>
      <c r="Y76" s="93" t="s">
        <v>98</v>
      </c>
      <c r="Z76" s="104">
        <v>1.0</v>
      </c>
      <c r="AA76" s="93" t="s">
        <v>98</v>
      </c>
      <c r="AB76" s="104">
        <v>1.0</v>
      </c>
      <c r="AC76" s="93" t="s">
        <v>98</v>
      </c>
      <c r="AD76" s="104">
        <v>1.0</v>
      </c>
      <c r="AE76" s="93" t="s">
        <v>98</v>
      </c>
      <c r="AF76" s="104">
        <v>1.0</v>
      </c>
      <c r="AG76" s="93" t="s">
        <v>98</v>
      </c>
      <c r="AH76" s="104">
        <v>1.0</v>
      </c>
      <c r="AI76" s="93" t="s">
        <v>98</v>
      </c>
      <c r="AJ76" s="104">
        <v>1.0</v>
      </c>
      <c r="AK76" s="93" t="s">
        <v>98</v>
      </c>
      <c r="AL76" s="104">
        <v>1.0</v>
      </c>
      <c r="AM76" s="93" t="s">
        <v>98</v>
      </c>
      <c r="AN76" s="104">
        <v>1.0</v>
      </c>
      <c r="AO76" s="93" t="s">
        <v>98</v>
      </c>
      <c r="AP76" s="103"/>
      <c r="AQ76" s="95" t="s">
        <v>125</v>
      </c>
      <c r="AR76" s="95" t="s">
        <v>125</v>
      </c>
      <c r="AS76" s="105" t="str">
        <f t="shared" si="30"/>
        <v>#VALUE!</v>
      </c>
      <c r="AT76" s="96" t="s">
        <v>98</v>
      </c>
      <c r="AU76" s="103"/>
      <c r="AV76" s="93" t="s">
        <v>98</v>
      </c>
      <c r="AW76" s="103"/>
      <c r="AX76" s="95" t="s">
        <v>99</v>
      </c>
      <c r="AY76" s="103" t="str">
        <f t="shared" si="25"/>
        <v>#REF!</v>
      </c>
      <c r="AZ76" s="106">
        <f t="shared" si="26"/>
        <v>46171</v>
      </c>
      <c r="BA76" s="107"/>
    </row>
    <row r="77" ht="30.75" customHeight="1">
      <c r="A77" s="93" t="s">
        <v>106</v>
      </c>
      <c r="B77" s="94" t="s">
        <v>107</v>
      </c>
      <c r="C77" s="94" t="s">
        <v>206</v>
      </c>
      <c r="D77" s="94">
        <v>13.0</v>
      </c>
      <c r="E77" s="93" t="s">
        <v>116</v>
      </c>
      <c r="F77" s="93" t="s">
        <v>98</v>
      </c>
      <c r="G77" s="93" t="s">
        <v>86</v>
      </c>
      <c r="H77" s="93" t="s">
        <v>98</v>
      </c>
      <c r="I77" s="93"/>
      <c r="J77" s="93" t="s">
        <v>390</v>
      </c>
      <c r="K77" s="93" t="s">
        <v>127</v>
      </c>
      <c r="L77" s="93" t="s">
        <v>397</v>
      </c>
      <c r="M77" s="93" t="s">
        <v>398</v>
      </c>
      <c r="N77" s="93" t="s">
        <v>123</v>
      </c>
      <c r="O77" s="93" t="s">
        <v>124</v>
      </c>
      <c r="P77" s="104">
        <v>12.0</v>
      </c>
      <c r="Q77" s="93" t="s">
        <v>98</v>
      </c>
      <c r="R77" s="104">
        <v>1.0</v>
      </c>
      <c r="S77" s="93" t="s">
        <v>98</v>
      </c>
      <c r="T77" s="104">
        <v>1.0</v>
      </c>
      <c r="U77" s="93" t="s">
        <v>98</v>
      </c>
      <c r="V77" s="104">
        <v>1.0</v>
      </c>
      <c r="W77" s="93" t="s">
        <v>98</v>
      </c>
      <c r="X77" s="104">
        <v>1.0</v>
      </c>
      <c r="Y77" s="93" t="s">
        <v>98</v>
      </c>
      <c r="Z77" s="104">
        <v>1.0</v>
      </c>
      <c r="AA77" s="93" t="s">
        <v>98</v>
      </c>
      <c r="AB77" s="104">
        <v>1.0</v>
      </c>
      <c r="AC77" s="93" t="s">
        <v>98</v>
      </c>
      <c r="AD77" s="104">
        <v>1.0</v>
      </c>
      <c r="AE77" s="93" t="s">
        <v>98</v>
      </c>
      <c r="AF77" s="104">
        <v>1.0</v>
      </c>
      <c r="AG77" s="93" t="s">
        <v>98</v>
      </c>
      <c r="AH77" s="104">
        <v>1.0</v>
      </c>
      <c r="AI77" s="93" t="s">
        <v>98</v>
      </c>
      <c r="AJ77" s="104">
        <v>1.0</v>
      </c>
      <c r="AK77" s="93" t="s">
        <v>98</v>
      </c>
      <c r="AL77" s="104">
        <v>1.0</v>
      </c>
      <c r="AM77" s="93" t="s">
        <v>98</v>
      </c>
      <c r="AN77" s="104">
        <v>1.0</v>
      </c>
      <c r="AO77" s="93" t="s">
        <v>98</v>
      </c>
      <c r="AP77" s="103"/>
      <c r="AQ77" s="95" t="s">
        <v>125</v>
      </c>
      <c r="AR77" s="95" t="s">
        <v>125</v>
      </c>
      <c r="AS77" s="105" t="str">
        <f t="shared" si="30"/>
        <v>#VALUE!</v>
      </c>
      <c r="AT77" s="96" t="s">
        <v>98</v>
      </c>
      <c r="AU77" s="103"/>
      <c r="AV77" s="93" t="s">
        <v>98</v>
      </c>
      <c r="AW77" s="103"/>
      <c r="AX77" s="95" t="s">
        <v>99</v>
      </c>
      <c r="AY77" s="103" t="str">
        <f t="shared" si="25"/>
        <v>#REF!</v>
      </c>
      <c r="AZ77" s="106">
        <f t="shared" si="26"/>
        <v>46171</v>
      </c>
      <c r="BA77" s="107"/>
    </row>
    <row r="78" ht="30.75" customHeight="1">
      <c r="A78" s="93" t="s">
        <v>106</v>
      </c>
      <c r="B78" s="94" t="s">
        <v>107</v>
      </c>
      <c r="C78" s="94" t="s">
        <v>206</v>
      </c>
      <c r="D78" s="93"/>
      <c r="E78" s="93" t="s">
        <v>116</v>
      </c>
      <c r="F78" s="93" t="s">
        <v>98</v>
      </c>
      <c r="G78" s="93" t="s">
        <v>86</v>
      </c>
      <c r="H78" s="93" t="s">
        <v>98</v>
      </c>
      <c r="I78" s="93"/>
      <c r="J78" s="93" t="s">
        <v>360</v>
      </c>
      <c r="K78" s="93" t="s">
        <v>399</v>
      </c>
      <c r="L78" s="93" t="s">
        <v>400</v>
      </c>
      <c r="M78" s="102">
        <v>95962.0</v>
      </c>
      <c r="N78" s="93" t="s">
        <v>123</v>
      </c>
      <c r="O78" s="93" t="s">
        <v>124</v>
      </c>
      <c r="P78" s="93">
        <v>4.0</v>
      </c>
      <c r="Q78" s="93">
        <v>4.0</v>
      </c>
      <c r="R78" s="93" t="s">
        <v>98</v>
      </c>
      <c r="S78" s="93"/>
      <c r="T78" s="93"/>
      <c r="U78" s="93">
        <v>1.0</v>
      </c>
      <c r="V78" s="93" t="s">
        <v>98</v>
      </c>
      <c r="W78" s="93"/>
      <c r="X78" s="93"/>
      <c r="Y78" s="93"/>
      <c r="Z78" s="93"/>
      <c r="AA78" s="93">
        <v>1.0</v>
      </c>
      <c r="AB78" s="93" t="s">
        <v>98</v>
      </c>
      <c r="AC78" s="93"/>
      <c r="AD78" s="93"/>
      <c r="AE78" s="93"/>
      <c r="AF78" s="93"/>
      <c r="AG78" s="93">
        <v>1.0</v>
      </c>
      <c r="AH78" s="93" t="s">
        <v>98</v>
      </c>
      <c r="AI78" s="93"/>
      <c r="AJ78" s="93"/>
      <c r="AK78" s="93"/>
      <c r="AL78" s="93"/>
      <c r="AM78" s="93">
        <v>1.0</v>
      </c>
      <c r="AN78" s="93" t="s">
        <v>98</v>
      </c>
      <c r="AO78" s="93"/>
      <c r="AP78" s="93"/>
      <c r="AQ78" s="93"/>
      <c r="AR78" s="93" t="s">
        <v>125</v>
      </c>
      <c r="AS78" s="93" t="s">
        <v>125</v>
      </c>
      <c r="AT78" s="95" t="str">
        <f>DATE(YEAR(AR78),MONTH(AR78)+R78,DAY(AR78))</f>
        <v>#VALUE!</v>
      </c>
      <c r="AU78" s="93" t="s">
        <v>98</v>
      </c>
      <c r="AV78" s="103"/>
      <c r="AW78" s="93" t="s">
        <v>98</v>
      </c>
      <c r="AX78" s="103"/>
      <c r="AY78" s="93" t="s">
        <v>99</v>
      </c>
      <c r="AZ78" s="93" t="str">
        <f>#REF!</f>
        <v>#REF!</v>
      </c>
      <c r="BA78" s="95">
        <f>TODAY()</f>
        <v>46171</v>
      </c>
    </row>
    <row r="79" ht="30.75" customHeight="1">
      <c r="A79" s="93" t="s">
        <v>106</v>
      </c>
      <c r="B79" s="94" t="s">
        <v>107</v>
      </c>
      <c r="C79" s="94" t="s">
        <v>206</v>
      </c>
      <c r="D79" s="93"/>
      <c r="E79" s="93" t="s">
        <v>116</v>
      </c>
      <c r="F79" s="93" t="s">
        <v>98</v>
      </c>
      <c r="G79" s="93" t="s">
        <v>86</v>
      </c>
      <c r="H79" s="93" t="s">
        <v>98</v>
      </c>
      <c r="I79" s="93"/>
      <c r="J79" s="93" t="s">
        <v>401</v>
      </c>
      <c r="K79" s="93" t="s">
        <v>127</v>
      </c>
      <c r="L79" s="93" t="s">
        <v>402</v>
      </c>
      <c r="M79" s="102" t="s">
        <v>403</v>
      </c>
      <c r="N79" s="93" t="s">
        <v>123</v>
      </c>
      <c r="O79" s="93" t="s">
        <v>124</v>
      </c>
      <c r="P79" s="104">
        <v>12.0</v>
      </c>
      <c r="Q79" s="93" t="s">
        <v>98</v>
      </c>
      <c r="R79" s="104">
        <v>1.0</v>
      </c>
      <c r="S79" s="93" t="s">
        <v>98</v>
      </c>
      <c r="T79" s="104">
        <v>1.0</v>
      </c>
      <c r="U79" s="93" t="s">
        <v>98</v>
      </c>
      <c r="V79" s="104">
        <v>1.0</v>
      </c>
      <c r="W79" s="93" t="s">
        <v>98</v>
      </c>
      <c r="X79" s="104">
        <v>1.0</v>
      </c>
      <c r="Y79" s="93" t="s">
        <v>98</v>
      </c>
      <c r="Z79" s="104">
        <v>1.0</v>
      </c>
      <c r="AA79" s="93" t="s">
        <v>98</v>
      </c>
      <c r="AB79" s="104">
        <v>1.0</v>
      </c>
      <c r="AC79" s="93" t="s">
        <v>98</v>
      </c>
      <c r="AD79" s="104">
        <v>1.0</v>
      </c>
      <c r="AE79" s="93" t="s">
        <v>98</v>
      </c>
      <c r="AF79" s="104">
        <v>1.0</v>
      </c>
      <c r="AG79" s="93" t="s">
        <v>98</v>
      </c>
      <c r="AH79" s="104">
        <v>1.0</v>
      </c>
      <c r="AI79" s="93" t="s">
        <v>98</v>
      </c>
      <c r="AJ79" s="104">
        <v>1.0</v>
      </c>
      <c r="AK79" s="93" t="s">
        <v>98</v>
      </c>
      <c r="AL79" s="104">
        <v>1.0</v>
      </c>
      <c r="AM79" s="93" t="s">
        <v>98</v>
      </c>
      <c r="AN79" s="104">
        <v>1.0</v>
      </c>
      <c r="AO79" s="93" t="s">
        <v>98</v>
      </c>
      <c r="AP79" s="103"/>
      <c r="AQ79" s="95" t="s">
        <v>125</v>
      </c>
      <c r="AR79" s="95" t="s">
        <v>125</v>
      </c>
      <c r="AS79" s="105" t="str">
        <f t="shared" ref="AS79:AS80" si="31">DATE(YEAR(AQ79),MONTH(AQ79)+Q79,DAY(AQ79))</f>
        <v>#VALUE!</v>
      </c>
      <c r="AT79" s="96" t="s">
        <v>98</v>
      </c>
      <c r="AU79" s="103"/>
      <c r="AV79" s="93" t="s">
        <v>98</v>
      </c>
      <c r="AW79" s="103"/>
      <c r="AX79" s="95" t="s">
        <v>99</v>
      </c>
      <c r="AY79" s="103" t="str">
        <f t="shared" ref="AY79:AY84" si="32">#REF!</f>
        <v>#REF!</v>
      </c>
      <c r="AZ79" s="106">
        <f t="shared" ref="AZ79:AZ84" si="33">TODAY()</f>
        <v>46171</v>
      </c>
      <c r="BA79" s="107"/>
    </row>
    <row r="80" ht="30.75" customHeight="1">
      <c r="A80" s="93" t="s">
        <v>106</v>
      </c>
      <c r="B80" s="94" t="s">
        <v>107</v>
      </c>
      <c r="C80" s="94" t="s">
        <v>206</v>
      </c>
      <c r="D80" s="93"/>
      <c r="E80" s="93" t="s">
        <v>116</v>
      </c>
      <c r="F80" s="93" t="s">
        <v>98</v>
      </c>
      <c r="G80" s="93" t="s">
        <v>86</v>
      </c>
      <c r="H80" s="93" t="s">
        <v>98</v>
      </c>
      <c r="I80" s="93"/>
      <c r="J80" s="93" t="s">
        <v>401</v>
      </c>
      <c r="K80" s="93" t="s">
        <v>127</v>
      </c>
      <c r="L80" s="93" t="s">
        <v>402</v>
      </c>
      <c r="M80" s="102" t="s">
        <v>403</v>
      </c>
      <c r="N80" s="93" t="s">
        <v>123</v>
      </c>
      <c r="O80" s="93" t="s">
        <v>124</v>
      </c>
      <c r="P80" s="104">
        <v>12.0</v>
      </c>
      <c r="Q80" s="93" t="s">
        <v>98</v>
      </c>
      <c r="R80" s="104">
        <v>1.0</v>
      </c>
      <c r="S80" s="93" t="s">
        <v>98</v>
      </c>
      <c r="T80" s="104">
        <v>1.0</v>
      </c>
      <c r="U80" s="93" t="s">
        <v>98</v>
      </c>
      <c r="V80" s="104">
        <v>1.0</v>
      </c>
      <c r="W80" s="93" t="s">
        <v>98</v>
      </c>
      <c r="X80" s="104">
        <v>1.0</v>
      </c>
      <c r="Y80" s="93" t="s">
        <v>98</v>
      </c>
      <c r="Z80" s="104">
        <v>1.0</v>
      </c>
      <c r="AA80" s="93" t="s">
        <v>98</v>
      </c>
      <c r="AB80" s="104">
        <v>1.0</v>
      </c>
      <c r="AC80" s="93" t="s">
        <v>98</v>
      </c>
      <c r="AD80" s="104">
        <v>1.0</v>
      </c>
      <c r="AE80" s="93" t="s">
        <v>98</v>
      </c>
      <c r="AF80" s="104">
        <v>1.0</v>
      </c>
      <c r="AG80" s="93" t="s">
        <v>98</v>
      </c>
      <c r="AH80" s="104">
        <v>1.0</v>
      </c>
      <c r="AI80" s="93" t="s">
        <v>98</v>
      </c>
      <c r="AJ80" s="104">
        <v>1.0</v>
      </c>
      <c r="AK80" s="93" t="s">
        <v>98</v>
      </c>
      <c r="AL80" s="104">
        <v>1.0</v>
      </c>
      <c r="AM80" s="93" t="s">
        <v>98</v>
      </c>
      <c r="AN80" s="104">
        <v>1.0</v>
      </c>
      <c r="AO80" s="93" t="s">
        <v>98</v>
      </c>
      <c r="AP80" s="103"/>
      <c r="AQ80" s="95" t="s">
        <v>125</v>
      </c>
      <c r="AR80" s="95" t="s">
        <v>125</v>
      </c>
      <c r="AS80" s="105" t="str">
        <f t="shared" si="31"/>
        <v>#VALUE!</v>
      </c>
      <c r="AT80" s="96" t="s">
        <v>98</v>
      </c>
      <c r="AU80" s="103"/>
      <c r="AV80" s="93" t="s">
        <v>98</v>
      </c>
      <c r="AW80" s="103"/>
      <c r="AX80" s="95" t="s">
        <v>99</v>
      </c>
      <c r="AY80" s="103" t="str">
        <f t="shared" si="32"/>
        <v>#REF!</v>
      </c>
      <c r="AZ80" s="106">
        <f t="shared" si="33"/>
        <v>46171</v>
      </c>
      <c r="BA80" s="107"/>
    </row>
    <row r="81" ht="30.75" customHeight="1">
      <c r="A81" s="93" t="s">
        <v>176</v>
      </c>
      <c r="B81" s="94" t="s">
        <v>107</v>
      </c>
      <c r="C81" s="94" t="s">
        <v>83</v>
      </c>
      <c r="D81" s="93">
        <v>3.0</v>
      </c>
      <c r="E81" s="93" t="s">
        <v>173</v>
      </c>
      <c r="F81" s="93" t="s">
        <v>98</v>
      </c>
      <c r="G81" s="93" t="s">
        <v>86</v>
      </c>
      <c r="H81" s="113" t="s">
        <v>404</v>
      </c>
      <c r="I81" s="93" t="s">
        <v>118</v>
      </c>
      <c r="J81" s="93" t="s">
        <v>319</v>
      </c>
      <c r="K81" s="93" t="s">
        <v>192</v>
      </c>
      <c r="L81" s="93" t="s">
        <v>355</v>
      </c>
      <c r="M81" s="93" t="s">
        <v>98</v>
      </c>
      <c r="N81" s="93"/>
      <c r="O81" s="93" t="s">
        <v>94</v>
      </c>
      <c r="P81" s="93">
        <v>12.0</v>
      </c>
      <c r="Q81" s="93">
        <v>1.0</v>
      </c>
      <c r="R81" s="93" t="s">
        <v>98</v>
      </c>
      <c r="S81" s="93" t="s">
        <v>98</v>
      </c>
      <c r="T81" s="93" t="s">
        <v>98</v>
      </c>
      <c r="U81" s="93" t="s">
        <v>98</v>
      </c>
      <c r="V81" s="93" t="s">
        <v>98</v>
      </c>
      <c r="W81" s="93" t="s">
        <v>98</v>
      </c>
      <c r="X81" s="93" t="s">
        <v>98</v>
      </c>
      <c r="Y81" s="93" t="s">
        <v>98</v>
      </c>
      <c r="Z81" s="93" t="s">
        <v>98</v>
      </c>
      <c r="AA81" s="93" t="s">
        <v>98</v>
      </c>
      <c r="AB81" s="93" t="s">
        <v>98</v>
      </c>
      <c r="AC81" s="93" t="s">
        <v>98</v>
      </c>
      <c r="AD81" s="93" t="s">
        <v>98</v>
      </c>
      <c r="AE81" s="93" t="s">
        <v>98</v>
      </c>
      <c r="AF81" s="93" t="s">
        <v>98</v>
      </c>
      <c r="AG81" s="93" t="s">
        <v>98</v>
      </c>
      <c r="AH81" s="93" t="s">
        <v>98</v>
      </c>
      <c r="AI81" s="93" t="s">
        <v>98</v>
      </c>
      <c r="AJ81" s="93" t="s">
        <v>98</v>
      </c>
      <c r="AK81" s="93" t="s">
        <v>98</v>
      </c>
      <c r="AL81" s="93" t="s">
        <v>98</v>
      </c>
      <c r="AM81" s="93" t="s">
        <v>98</v>
      </c>
      <c r="AN81" s="93" t="s">
        <v>98</v>
      </c>
      <c r="AO81" s="93" t="s">
        <v>98</v>
      </c>
      <c r="AP81" s="93" t="str">
        <f t="shared" ref="AP81:AP82" si="34">#REF!</f>
        <v>#REF!</v>
      </c>
      <c r="AQ81" s="95" t="s">
        <v>98</v>
      </c>
      <c r="AR81" s="95" t="s">
        <v>98</v>
      </c>
      <c r="AS81" s="95" t="str">
        <f t="shared" ref="AS81:AS82" si="35">DATE(YEAR(AQ81),MONTH(AQ81)+P81,DAY(AQ81))</f>
        <v>#VALUE!</v>
      </c>
      <c r="AT81" s="95" t="s">
        <v>98</v>
      </c>
      <c r="AU81" s="95" t="s">
        <v>98</v>
      </c>
      <c r="AV81" s="95" t="s">
        <v>98</v>
      </c>
      <c r="AW81" s="95" t="s">
        <v>98</v>
      </c>
      <c r="AX81" s="93" t="s">
        <v>113</v>
      </c>
      <c r="AY81" s="93" t="str">
        <f t="shared" si="32"/>
        <v>#REF!</v>
      </c>
      <c r="AZ81" s="95">
        <f t="shared" si="33"/>
        <v>46171</v>
      </c>
      <c r="BA81" s="95"/>
    </row>
    <row r="82" ht="30.75" customHeight="1">
      <c r="A82" s="93" t="s">
        <v>176</v>
      </c>
      <c r="B82" s="94" t="s">
        <v>107</v>
      </c>
      <c r="C82" s="94" t="s">
        <v>83</v>
      </c>
      <c r="D82" s="93">
        <v>2.0</v>
      </c>
      <c r="E82" s="93" t="s">
        <v>173</v>
      </c>
      <c r="F82" s="93" t="s">
        <v>405</v>
      </c>
      <c r="G82" s="93" t="s">
        <v>86</v>
      </c>
      <c r="H82" s="93" t="s">
        <v>98</v>
      </c>
      <c r="I82" s="93" t="s">
        <v>88</v>
      </c>
      <c r="J82" s="93" t="s">
        <v>319</v>
      </c>
      <c r="K82" s="93" t="s">
        <v>406</v>
      </c>
      <c r="L82" s="93" t="s">
        <v>407</v>
      </c>
      <c r="M82" s="93" t="s">
        <v>408</v>
      </c>
      <c r="N82" s="93" t="s">
        <v>98</v>
      </c>
      <c r="O82" s="93" t="s">
        <v>94</v>
      </c>
      <c r="P82" s="93">
        <v>12.0</v>
      </c>
      <c r="Q82" s="93">
        <v>1.0</v>
      </c>
      <c r="R82" s="93" t="s">
        <v>98</v>
      </c>
      <c r="S82" s="93" t="s">
        <v>98</v>
      </c>
      <c r="T82" s="93" t="s">
        <v>98</v>
      </c>
      <c r="U82" s="93" t="s">
        <v>98</v>
      </c>
      <c r="V82" s="93" t="s">
        <v>98</v>
      </c>
      <c r="W82" s="93" t="s">
        <v>98</v>
      </c>
      <c r="X82" s="93" t="s">
        <v>98</v>
      </c>
      <c r="Y82" s="93" t="s">
        <v>98</v>
      </c>
      <c r="Z82" s="93" t="s">
        <v>98</v>
      </c>
      <c r="AA82" s="93" t="s">
        <v>98</v>
      </c>
      <c r="AB82" s="93" t="s">
        <v>98</v>
      </c>
      <c r="AC82" s="93" t="s">
        <v>98</v>
      </c>
      <c r="AD82" s="93" t="s">
        <v>98</v>
      </c>
      <c r="AE82" s="93" t="s">
        <v>98</v>
      </c>
      <c r="AF82" s="93" t="s">
        <v>98</v>
      </c>
      <c r="AG82" s="93" t="s">
        <v>98</v>
      </c>
      <c r="AH82" s="93" t="s">
        <v>98</v>
      </c>
      <c r="AI82" s="93" t="s">
        <v>98</v>
      </c>
      <c r="AJ82" s="93" t="s">
        <v>98</v>
      </c>
      <c r="AK82" s="93" t="s">
        <v>98</v>
      </c>
      <c r="AL82" s="93" t="s">
        <v>98</v>
      </c>
      <c r="AM82" s="93" t="s">
        <v>98</v>
      </c>
      <c r="AN82" s="93" t="s">
        <v>98</v>
      </c>
      <c r="AO82" s="93" t="s">
        <v>98</v>
      </c>
      <c r="AP82" s="93" t="str">
        <f t="shared" si="34"/>
        <v>#REF!</v>
      </c>
      <c r="AQ82" s="95" t="s">
        <v>98</v>
      </c>
      <c r="AR82" s="95" t="s">
        <v>98</v>
      </c>
      <c r="AS82" s="95" t="str">
        <f t="shared" si="35"/>
        <v>#VALUE!</v>
      </c>
      <c r="AT82" s="95" t="s">
        <v>98</v>
      </c>
      <c r="AU82" s="95" t="s">
        <v>98</v>
      </c>
      <c r="AV82" s="95" t="s">
        <v>98</v>
      </c>
      <c r="AW82" s="95" t="s">
        <v>98</v>
      </c>
      <c r="AX82" s="93" t="s">
        <v>113</v>
      </c>
      <c r="AY82" s="93" t="str">
        <f t="shared" si="32"/>
        <v>#REF!</v>
      </c>
      <c r="AZ82" s="95">
        <f t="shared" si="33"/>
        <v>46171</v>
      </c>
      <c r="BA82" s="95"/>
    </row>
    <row r="83" ht="30.75" customHeight="1">
      <c r="A83" s="114" t="s">
        <v>81</v>
      </c>
      <c r="B83" s="115" t="s">
        <v>82</v>
      </c>
      <c r="C83" s="116" t="s">
        <v>83</v>
      </c>
      <c r="D83" s="114">
        <v>1.0</v>
      </c>
      <c r="E83" s="117" t="s">
        <v>108</v>
      </c>
      <c r="F83" s="114" t="s">
        <v>409</v>
      </c>
      <c r="G83" s="114" t="s">
        <v>86</v>
      </c>
      <c r="H83" s="114" t="s">
        <v>410</v>
      </c>
      <c r="I83" s="114" t="s">
        <v>88</v>
      </c>
      <c r="J83" s="114" t="s">
        <v>319</v>
      </c>
      <c r="K83" s="114" t="s">
        <v>411</v>
      </c>
      <c r="L83" s="114" t="s">
        <v>412</v>
      </c>
      <c r="M83" s="114" t="s">
        <v>413</v>
      </c>
      <c r="N83" s="114" t="s">
        <v>98</v>
      </c>
      <c r="O83" s="114" t="s">
        <v>94</v>
      </c>
      <c r="P83" s="117">
        <v>12.0</v>
      </c>
      <c r="Q83" s="117">
        <v>1.0</v>
      </c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>
        <v>1.0</v>
      </c>
      <c r="AC83" s="114">
        <v>1.0</v>
      </c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8" t="s">
        <v>95</v>
      </c>
      <c r="AR83" s="118" t="s">
        <v>95</v>
      </c>
      <c r="AS83" s="118" t="s">
        <v>96</v>
      </c>
      <c r="AT83" s="118" t="s">
        <v>414</v>
      </c>
      <c r="AU83" s="118" t="s">
        <v>98</v>
      </c>
      <c r="AV83" s="118" t="s">
        <v>98</v>
      </c>
      <c r="AW83" s="118" t="s">
        <v>98</v>
      </c>
      <c r="AX83" s="114" t="s">
        <v>113</v>
      </c>
      <c r="AY83" s="114" t="str">
        <f t="shared" si="32"/>
        <v>#REF!</v>
      </c>
      <c r="AZ83" s="118">
        <f t="shared" si="33"/>
        <v>46171</v>
      </c>
      <c r="BA83" s="118"/>
    </row>
    <row r="84" ht="30.75" customHeight="1">
      <c r="A84" s="93" t="s">
        <v>81</v>
      </c>
      <c r="B84" s="94" t="s">
        <v>82</v>
      </c>
      <c r="C84" s="94" t="s">
        <v>83</v>
      </c>
      <c r="D84" s="93">
        <v>2.0</v>
      </c>
      <c r="E84" s="93" t="s">
        <v>336</v>
      </c>
      <c r="F84" s="93" t="s">
        <v>415</v>
      </c>
      <c r="G84" s="93" t="s">
        <v>86</v>
      </c>
      <c r="H84" s="93" t="s">
        <v>416</v>
      </c>
      <c r="I84" s="93" t="s">
        <v>88</v>
      </c>
      <c r="J84" s="93" t="s">
        <v>417</v>
      </c>
      <c r="K84" s="93" t="s">
        <v>418</v>
      </c>
      <c r="L84" s="93" t="s">
        <v>419</v>
      </c>
      <c r="M84" s="111">
        <v>510984.0</v>
      </c>
      <c r="N84" s="111" t="s">
        <v>418</v>
      </c>
      <c r="O84" s="93" t="s">
        <v>94</v>
      </c>
      <c r="P84" s="93">
        <v>12.0</v>
      </c>
      <c r="Q84" s="93">
        <v>1.0</v>
      </c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>
        <v>1.0</v>
      </c>
      <c r="AC84" s="93">
        <v>1.0</v>
      </c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119">
        <v>244143.0</v>
      </c>
      <c r="AR84" s="119">
        <v>244143.0</v>
      </c>
      <c r="AS84" s="119">
        <v>244477.0</v>
      </c>
      <c r="AT84" s="96" t="s">
        <v>420</v>
      </c>
      <c r="AU84" s="93" t="s">
        <v>421</v>
      </c>
      <c r="AV84" s="111">
        <v>2.4</v>
      </c>
      <c r="AW84" s="111" t="s">
        <v>422</v>
      </c>
      <c r="AX84" s="95" t="s">
        <v>99</v>
      </c>
      <c r="AY84" s="93" t="str">
        <f t="shared" si="32"/>
        <v>#REF!</v>
      </c>
      <c r="AZ84" s="95">
        <f t="shared" si="33"/>
        <v>46171</v>
      </c>
      <c r="BA84" s="120" t="s">
        <v>423</v>
      </c>
    </row>
    <row r="85" ht="30.75" customHeight="1">
      <c r="A85" s="93" t="s">
        <v>81</v>
      </c>
      <c r="B85" s="94" t="s">
        <v>82</v>
      </c>
      <c r="C85" s="94" t="s">
        <v>83</v>
      </c>
      <c r="D85" s="93"/>
      <c r="E85" s="93" t="s">
        <v>336</v>
      </c>
      <c r="F85" s="93" t="s">
        <v>424</v>
      </c>
      <c r="G85" s="93" t="s">
        <v>86</v>
      </c>
      <c r="H85" s="93" t="s">
        <v>425</v>
      </c>
      <c r="I85" s="93"/>
      <c r="J85" s="93" t="s">
        <v>417</v>
      </c>
      <c r="K85" s="93" t="s">
        <v>426</v>
      </c>
      <c r="L85" s="93" t="s">
        <v>427</v>
      </c>
      <c r="M85" s="111" t="s">
        <v>98</v>
      </c>
      <c r="N85" s="93" t="s">
        <v>426</v>
      </c>
      <c r="O85" s="93" t="s">
        <v>94</v>
      </c>
      <c r="P85" s="93">
        <v>12.0</v>
      </c>
      <c r="Q85" s="93">
        <v>1.0</v>
      </c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>
        <v>1.0</v>
      </c>
      <c r="AC85" s="93">
        <v>1.0</v>
      </c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119">
        <v>244143.0</v>
      </c>
      <c r="AR85" s="119">
        <v>244143.0</v>
      </c>
      <c r="AS85" s="119">
        <v>244477.0</v>
      </c>
      <c r="AT85" s="102" t="s">
        <v>428</v>
      </c>
      <c r="AU85" s="93"/>
      <c r="AV85" s="111"/>
      <c r="AW85" s="111"/>
      <c r="AX85" s="95"/>
      <c r="AY85" s="93"/>
      <c r="AZ85" s="95"/>
      <c r="BA85" s="93"/>
    </row>
    <row r="86" ht="30.75" customHeight="1">
      <c r="A86" s="114" t="s">
        <v>81</v>
      </c>
      <c r="B86" s="115" t="s">
        <v>82</v>
      </c>
      <c r="C86" s="116" t="s">
        <v>83</v>
      </c>
      <c r="D86" s="114">
        <v>2.0</v>
      </c>
      <c r="E86" s="117" t="s">
        <v>108</v>
      </c>
      <c r="F86" s="114" t="s">
        <v>286</v>
      </c>
      <c r="G86" s="114" t="s">
        <v>86</v>
      </c>
      <c r="H86" s="114" t="s">
        <v>98</v>
      </c>
      <c r="I86" s="114" t="s">
        <v>88</v>
      </c>
      <c r="J86" s="114" t="s">
        <v>429</v>
      </c>
      <c r="K86" s="114" t="s">
        <v>430</v>
      </c>
      <c r="L86" s="114">
        <v>5452.0</v>
      </c>
      <c r="M86" s="114" t="s">
        <v>431</v>
      </c>
      <c r="N86" s="114"/>
      <c r="O86" s="114" t="s">
        <v>94</v>
      </c>
      <c r="P86" s="117">
        <v>12.0</v>
      </c>
      <c r="Q86" s="117">
        <v>1.0</v>
      </c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>
        <v>1.0</v>
      </c>
      <c r="AC86" s="114">
        <v>1.0</v>
      </c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 t="str">
        <f>#REF!</f>
        <v>#REF!</v>
      </c>
      <c r="AQ86" s="118" t="s">
        <v>95</v>
      </c>
      <c r="AR86" s="118" t="s">
        <v>95</v>
      </c>
      <c r="AS86" s="118" t="s">
        <v>96</v>
      </c>
      <c r="AT86" s="121" t="s">
        <v>432</v>
      </c>
      <c r="AU86" s="114"/>
      <c r="AV86" s="114"/>
      <c r="AW86" s="114"/>
      <c r="AX86" s="118" t="s">
        <v>99</v>
      </c>
      <c r="AY86" s="114" t="str">
        <f t="shared" ref="AY86:AY95" si="36">#REF!</f>
        <v>#REF!</v>
      </c>
      <c r="AZ86" s="118">
        <f t="shared" ref="AZ86:AZ91" si="37">TODAY()</f>
        <v>46171</v>
      </c>
      <c r="BA86" s="118"/>
    </row>
    <row r="87" ht="30.75" customHeight="1">
      <c r="A87" s="114" t="s">
        <v>81</v>
      </c>
      <c r="B87" s="115" t="s">
        <v>82</v>
      </c>
      <c r="C87" s="116" t="s">
        <v>83</v>
      </c>
      <c r="D87" s="114">
        <v>3.0</v>
      </c>
      <c r="E87" s="117" t="s">
        <v>108</v>
      </c>
      <c r="F87" s="114" t="s">
        <v>98</v>
      </c>
      <c r="G87" s="114" t="s">
        <v>86</v>
      </c>
      <c r="H87" s="114"/>
      <c r="I87" s="114" t="s">
        <v>88</v>
      </c>
      <c r="J87" s="114" t="s">
        <v>429</v>
      </c>
      <c r="K87" s="114" t="s">
        <v>433</v>
      </c>
      <c r="L87" s="114" t="s">
        <v>434</v>
      </c>
      <c r="M87" s="114" t="s">
        <v>435</v>
      </c>
      <c r="N87" s="114"/>
      <c r="O87" s="114" t="s">
        <v>94</v>
      </c>
      <c r="P87" s="117">
        <v>12.0</v>
      </c>
      <c r="Q87" s="117">
        <v>1.0</v>
      </c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>
        <v>1.0</v>
      </c>
      <c r="AC87" s="114">
        <v>1.0</v>
      </c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>
        <v>0.0</v>
      </c>
      <c r="AQ87" s="118" t="s">
        <v>95</v>
      </c>
      <c r="AR87" s="118" t="s">
        <v>95</v>
      </c>
      <c r="AS87" s="118" t="s">
        <v>96</v>
      </c>
      <c r="AT87" s="121" t="s">
        <v>436</v>
      </c>
      <c r="AU87" s="114"/>
      <c r="AV87" s="114"/>
      <c r="AW87" s="114"/>
      <c r="AX87" s="118" t="s">
        <v>99</v>
      </c>
      <c r="AY87" s="114" t="str">
        <f t="shared" si="36"/>
        <v>#REF!</v>
      </c>
      <c r="AZ87" s="118">
        <f t="shared" si="37"/>
        <v>46171</v>
      </c>
      <c r="BA87" s="118"/>
    </row>
    <row r="88" ht="30.75" customHeight="1">
      <c r="A88" s="93"/>
      <c r="B88" s="94" t="s">
        <v>82</v>
      </c>
      <c r="C88" s="94" t="s">
        <v>83</v>
      </c>
      <c r="D88" s="94">
        <v>25.0</v>
      </c>
      <c r="E88" s="93" t="s">
        <v>84</v>
      </c>
      <c r="F88" s="93" t="s">
        <v>437</v>
      </c>
      <c r="G88" s="93" t="s">
        <v>86</v>
      </c>
      <c r="H88" s="93" t="s">
        <v>438</v>
      </c>
      <c r="I88" s="93" t="s">
        <v>88</v>
      </c>
      <c r="J88" s="93" t="s">
        <v>439</v>
      </c>
      <c r="K88" s="93" t="s">
        <v>201</v>
      </c>
      <c r="L88" s="93" t="s">
        <v>440</v>
      </c>
      <c r="M88" s="93">
        <v>2000915.0</v>
      </c>
      <c r="N88" s="93" t="s">
        <v>204</v>
      </c>
      <c r="O88" s="93" t="s">
        <v>94</v>
      </c>
      <c r="P88" s="93">
        <v>12.0</v>
      </c>
      <c r="Q88" s="93">
        <v>1.0</v>
      </c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>
        <v>1.0</v>
      </c>
      <c r="AC88" s="93">
        <v>1.0</v>
      </c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5" t="s">
        <v>95</v>
      </c>
      <c r="AR88" s="95" t="s">
        <v>95</v>
      </c>
      <c r="AS88" s="95" t="s">
        <v>96</v>
      </c>
      <c r="AT88" s="96" t="s">
        <v>441</v>
      </c>
      <c r="AU88" s="95" t="s">
        <v>98</v>
      </c>
      <c r="AV88" s="95" t="s">
        <v>98</v>
      </c>
      <c r="AW88" s="95" t="s">
        <v>98</v>
      </c>
      <c r="AX88" s="93" t="s">
        <v>113</v>
      </c>
      <c r="AY88" s="93" t="str">
        <f t="shared" si="36"/>
        <v>#REF!</v>
      </c>
      <c r="AZ88" s="95">
        <f t="shared" si="37"/>
        <v>46171</v>
      </c>
      <c r="BA88" s="95"/>
    </row>
    <row r="89" ht="30.75" customHeight="1">
      <c r="A89" s="93"/>
      <c r="B89" s="94" t="s">
        <v>82</v>
      </c>
      <c r="C89" s="94" t="s">
        <v>83</v>
      </c>
      <c r="D89" s="93">
        <v>26.0</v>
      </c>
      <c r="E89" s="93" t="s">
        <v>84</v>
      </c>
      <c r="F89" s="93" t="s">
        <v>442</v>
      </c>
      <c r="G89" s="93" t="s">
        <v>86</v>
      </c>
      <c r="H89" s="93" t="s">
        <v>443</v>
      </c>
      <c r="I89" s="93" t="s">
        <v>88</v>
      </c>
      <c r="J89" s="93" t="s">
        <v>444</v>
      </c>
      <c r="K89" s="93" t="s">
        <v>201</v>
      </c>
      <c r="L89" s="93" t="s">
        <v>440</v>
      </c>
      <c r="M89" s="93">
        <v>2000561.0</v>
      </c>
      <c r="N89" s="93" t="s">
        <v>204</v>
      </c>
      <c r="O89" s="93" t="s">
        <v>94</v>
      </c>
      <c r="P89" s="93">
        <v>12.0</v>
      </c>
      <c r="Q89" s="93">
        <v>1.0</v>
      </c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>
        <v>1.0</v>
      </c>
      <c r="AC89" s="93">
        <v>1.0</v>
      </c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5" t="s">
        <v>95</v>
      </c>
      <c r="AR89" s="95" t="s">
        <v>95</v>
      </c>
      <c r="AS89" s="95" t="s">
        <v>96</v>
      </c>
      <c r="AT89" s="95" t="s">
        <v>445</v>
      </c>
      <c r="AU89" s="95" t="s">
        <v>98</v>
      </c>
      <c r="AV89" s="95" t="s">
        <v>98</v>
      </c>
      <c r="AW89" s="95" t="s">
        <v>98</v>
      </c>
      <c r="AX89" s="93" t="s">
        <v>113</v>
      </c>
      <c r="AY89" s="93" t="str">
        <f t="shared" si="36"/>
        <v>#REF!</v>
      </c>
      <c r="AZ89" s="95">
        <f t="shared" si="37"/>
        <v>46171</v>
      </c>
      <c r="BA89" s="95"/>
    </row>
    <row r="90" ht="30.75" customHeight="1">
      <c r="A90" s="93"/>
      <c r="B90" s="94" t="s">
        <v>82</v>
      </c>
      <c r="C90" s="94" t="s">
        <v>83</v>
      </c>
      <c r="D90" s="93">
        <v>3.0</v>
      </c>
      <c r="E90" s="93" t="s">
        <v>336</v>
      </c>
      <c r="F90" s="93" t="s">
        <v>446</v>
      </c>
      <c r="G90" s="93" t="s">
        <v>86</v>
      </c>
      <c r="H90" s="93" t="s">
        <v>425</v>
      </c>
      <c r="I90" s="93" t="s">
        <v>88</v>
      </c>
      <c r="J90" s="93" t="s">
        <v>447</v>
      </c>
      <c r="K90" s="93" t="s">
        <v>448</v>
      </c>
      <c r="L90" s="93" t="s">
        <v>427</v>
      </c>
      <c r="M90" s="93" t="s">
        <v>98</v>
      </c>
      <c r="N90" s="93" t="s">
        <v>448</v>
      </c>
      <c r="O90" s="93" t="s">
        <v>94</v>
      </c>
      <c r="P90" s="93">
        <v>12.0</v>
      </c>
      <c r="Q90" s="93">
        <v>1.0</v>
      </c>
      <c r="R90" s="93" t="s">
        <v>98</v>
      </c>
      <c r="S90" s="93" t="s">
        <v>98</v>
      </c>
      <c r="T90" s="93" t="s">
        <v>98</v>
      </c>
      <c r="U90" s="93" t="s">
        <v>98</v>
      </c>
      <c r="V90" s="93" t="s">
        <v>98</v>
      </c>
      <c r="W90" s="93" t="s">
        <v>98</v>
      </c>
      <c r="X90" s="93" t="s">
        <v>98</v>
      </c>
      <c r="Y90" s="93" t="s">
        <v>98</v>
      </c>
      <c r="Z90" s="93" t="s">
        <v>98</v>
      </c>
      <c r="AA90" s="93" t="s">
        <v>98</v>
      </c>
      <c r="AB90" s="93" t="s">
        <v>98</v>
      </c>
      <c r="AC90" s="93" t="s">
        <v>98</v>
      </c>
      <c r="AD90" s="93" t="s">
        <v>98</v>
      </c>
      <c r="AE90" s="93" t="s">
        <v>98</v>
      </c>
      <c r="AF90" s="93" t="s">
        <v>98</v>
      </c>
      <c r="AG90" s="93" t="s">
        <v>98</v>
      </c>
      <c r="AH90" s="93" t="s">
        <v>98</v>
      </c>
      <c r="AI90" s="93" t="s">
        <v>98</v>
      </c>
      <c r="AJ90" s="93" t="s">
        <v>98</v>
      </c>
      <c r="AK90" s="93" t="s">
        <v>98</v>
      </c>
      <c r="AL90" s="93" t="s">
        <v>98</v>
      </c>
      <c r="AM90" s="93" t="s">
        <v>98</v>
      </c>
      <c r="AN90" s="93" t="s">
        <v>98</v>
      </c>
      <c r="AO90" s="93" t="s">
        <v>98</v>
      </c>
      <c r="AP90" s="93" t="str">
        <f t="shared" ref="AP90:AP92" si="38">#REF!</f>
        <v>#REF!</v>
      </c>
      <c r="AQ90" s="95" t="s">
        <v>98</v>
      </c>
      <c r="AR90" s="95" t="s">
        <v>98</v>
      </c>
      <c r="AS90" s="95" t="str">
        <f t="shared" ref="AS90:AS92" si="39">DATE(YEAR(AQ90),MONTH(AQ90)+P90,DAY(AQ90))</f>
        <v>#VALUE!</v>
      </c>
      <c r="AT90" s="95" t="s">
        <v>98</v>
      </c>
      <c r="AU90" s="95" t="s">
        <v>98</v>
      </c>
      <c r="AV90" s="95" t="s">
        <v>98</v>
      </c>
      <c r="AW90" s="95" t="s">
        <v>98</v>
      </c>
      <c r="AX90" s="93" t="s">
        <v>113</v>
      </c>
      <c r="AY90" s="93" t="str">
        <f t="shared" si="36"/>
        <v>#REF!</v>
      </c>
      <c r="AZ90" s="95">
        <f t="shared" si="37"/>
        <v>46171</v>
      </c>
      <c r="BA90" s="95"/>
    </row>
    <row r="91" ht="30.75" customHeight="1">
      <c r="A91" s="93"/>
      <c r="B91" s="94" t="s">
        <v>82</v>
      </c>
      <c r="C91" s="94" t="s">
        <v>83</v>
      </c>
      <c r="D91" s="93">
        <v>4.0</v>
      </c>
      <c r="E91" s="93" t="s">
        <v>336</v>
      </c>
      <c r="F91" s="93" t="s">
        <v>337</v>
      </c>
      <c r="G91" s="93" t="s">
        <v>86</v>
      </c>
      <c r="H91" s="93" t="s">
        <v>338</v>
      </c>
      <c r="I91" s="93" t="s">
        <v>88</v>
      </c>
      <c r="J91" s="93" t="s">
        <v>449</v>
      </c>
      <c r="K91" s="93" t="s">
        <v>192</v>
      </c>
      <c r="L91" s="93" t="s">
        <v>450</v>
      </c>
      <c r="M91" s="93" t="s">
        <v>98</v>
      </c>
      <c r="N91" s="93" t="s">
        <v>194</v>
      </c>
      <c r="O91" s="93"/>
      <c r="P91" s="93">
        <v>12.0</v>
      </c>
      <c r="Q91" s="93">
        <v>1.0</v>
      </c>
      <c r="R91" s="93" t="s">
        <v>98</v>
      </c>
      <c r="S91" s="93" t="s">
        <v>98</v>
      </c>
      <c r="T91" s="93" t="s">
        <v>98</v>
      </c>
      <c r="U91" s="93" t="s">
        <v>98</v>
      </c>
      <c r="V91" s="93" t="s">
        <v>98</v>
      </c>
      <c r="W91" s="93" t="s">
        <v>98</v>
      </c>
      <c r="X91" s="93" t="s">
        <v>98</v>
      </c>
      <c r="Y91" s="93" t="s">
        <v>98</v>
      </c>
      <c r="Z91" s="93" t="s">
        <v>98</v>
      </c>
      <c r="AA91" s="93" t="s">
        <v>98</v>
      </c>
      <c r="AB91" s="93" t="s">
        <v>98</v>
      </c>
      <c r="AC91" s="93" t="s">
        <v>98</v>
      </c>
      <c r="AD91" s="93" t="s">
        <v>98</v>
      </c>
      <c r="AE91" s="93" t="s">
        <v>98</v>
      </c>
      <c r="AF91" s="93" t="s">
        <v>98</v>
      </c>
      <c r="AG91" s="93" t="s">
        <v>98</v>
      </c>
      <c r="AH91" s="93" t="s">
        <v>98</v>
      </c>
      <c r="AI91" s="93" t="s">
        <v>98</v>
      </c>
      <c r="AJ91" s="93" t="s">
        <v>98</v>
      </c>
      <c r="AK91" s="93" t="s">
        <v>98</v>
      </c>
      <c r="AL91" s="93" t="s">
        <v>98</v>
      </c>
      <c r="AM91" s="93" t="s">
        <v>98</v>
      </c>
      <c r="AN91" s="93" t="s">
        <v>98</v>
      </c>
      <c r="AO91" s="93" t="s">
        <v>98</v>
      </c>
      <c r="AP91" s="93" t="str">
        <f t="shared" si="38"/>
        <v>#REF!</v>
      </c>
      <c r="AQ91" s="95" t="s">
        <v>98</v>
      </c>
      <c r="AR91" s="95" t="s">
        <v>98</v>
      </c>
      <c r="AS91" s="95" t="str">
        <f t="shared" si="39"/>
        <v>#VALUE!</v>
      </c>
      <c r="AT91" s="95" t="s">
        <v>98</v>
      </c>
      <c r="AU91" s="95" t="s">
        <v>98</v>
      </c>
      <c r="AV91" s="95" t="s">
        <v>98</v>
      </c>
      <c r="AW91" s="95" t="s">
        <v>98</v>
      </c>
      <c r="AX91" s="93" t="s">
        <v>113</v>
      </c>
      <c r="AY91" s="93" t="str">
        <f t="shared" si="36"/>
        <v>#REF!</v>
      </c>
      <c r="AZ91" s="95">
        <f t="shared" si="37"/>
        <v>46171</v>
      </c>
      <c r="BA91" s="95"/>
    </row>
    <row r="92" ht="30.75" customHeight="1">
      <c r="A92" s="93"/>
      <c r="B92" s="94" t="s">
        <v>82</v>
      </c>
      <c r="C92" s="94" t="s">
        <v>83</v>
      </c>
      <c r="D92" s="93">
        <v>5.0</v>
      </c>
      <c r="E92" s="93" t="s">
        <v>336</v>
      </c>
      <c r="F92" s="93" t="s">
        <v>337</v>
      </c>
      <c r="G92" s="93" t="s">
        <v>86</v>
      </c>
      <c r="H92" s="93" t="s">
        <v>338</v>
      </c>
      <c r="I92" s="93" t="s">
        <v>88</v>
      </c>
      <c r="J92" s="93" t="s">
        <v>449</v>
      </c>
      <c r="K92" s="93" t="s">
        <v>192</v>
      </c>
      <c r="L92" s="93" t="s">
        <v>450</v>
      </c>
      <c r="M92" s="93" t="s">
        <v>98</v>
      </c>
      <c r="N92" s="93" t="s">
        <v>194</v>
      </c>
      <c r="O92" s="93"/>
      <c r="P92" s="93">
        <v>12.0</v>
      </c>
      <c r="Q92" s="93">
        <v>1.0</v>
      </c>
      <c r="R92" s="93" t="s">
        <v>98</v>
      </c>
      <c r="S92" s="93" t="s">
        <v>98</v>
      </c>
      <c r="T92" s="93" t="s">
        <v>98</v>
      </c>
      <c r="U92" s="93" t="s">
        <v>98</v>
      </c>
      <c r="V92" s="93" t="s">
        <v>98</v>
      </c>
      <c r="W92" s="93" t="s">
        <v>98</v>
      </c>
      <c r="X92" s="93" t="s">
        <v>98</v>
      </c>
      <c r="Y92" s="93" t="s">
        <v>98</v>
      </c>
      <c r="Z92" s="93" t="s">
        <v>98</v>
      </c>
      <c r="AA92" s="93" t="s">
        <v>98</v>
      </c>
      <c r="AB92" s="93" t="s">
        <v>98</v>
      </c>
      <c r="AC92" s="93" t="s">
        <v>98</v>
      </c>
      <c r="AD92" s="93" t="s">
        <v>98</v>
      </c>
      <c r="AE92" s="93" t="s">
        <v>98</v>
      </c>
      <c r="AF92" s="93" t="s">
        <v>98</v>
      </c>
      <c r="AG92" s="93" t="s">
        <v>98</v>
      </c>
      <c r="AH92" s="93" t="s">
        <v>98</v>
      </c>
      <c r="AI92" s="93" t="s">
        <v>98</v>
      </c>
      <c r="AJ92" s="93" t="s">
        <v>98</v>
      </c>
      <c r="AK92" s="93" t="s">
        <v>98</v>
      </c>
      <c r="AL92" s="93" t="s">
        <v>98</v>
      </c>
      <c r="AM92" s="93" t="s">
        <v>98</v>
      </c>
      <c r="AN92" s="93" t="s">
        <v>98</v>
      </c>
      <c r="AO92" s="93" t="s">
        <v>98</v>
      </c>
      <c r="AP92" s="93" t="str">
        <f t="shared" si="38"/>
        <v>#REF!</v>
      </c>
      <c r="AQ92" s="95" t="s">
        <v>98</v>
      </c>
      <c r="AR92" s="95" t="s">
        <v>98</v>
      </c>
      <c r="AS92" s="95" t="str">
        <f t="shared" si="39"/>
        <v>#VALUE!</v>
      </c>
      <c r="AT92" s="95" t="s">
        <v>98</v>
      </c>
      <c r="AU92" s="95" t="s">
        <v>98</v>
      </c>
      <c r="AV92" s="95" t="s">
        <v>98</v>
      </c>
      <c r="AW92" s="95" t="s">
        <v>98</v>
      </c>
      <c r="AX92" s="93" t="s">
        <v>113</v>
      </c>
      <c r="AY92" s="93" t="str">
        <f t="shared" si="36"/>
        <v>#REF!</v>
      </c>
      <c r="AZ92" s="95"/>
      <c r="BA92" s="95"/>
    </row>
    <row r="93" ht="30.75" customHeight="1">
      <c r="A93" s="93" t="s">
        <v>81</v>
      </c>
      <c r="B93" s="94" t="s">
        <v>82</v>
      </c>
      <c r="C93" s="94" t="s">
        <v>83</v>
      </c>
      <c r="D93" s="93">
        <v>4.0</v>
      </c>
      <c r="E93" s="93" t="s">
        <v>116</v>
      </c>
      <c r="F93" s="93" t="s">
        <v>451</v>
      </c>
      <c r="G93" s="93" t="s">
        <v>86</v>
      </c>
      <c r="H93" s="93" t="s">
        <v>452</v>
      </c>
      <c r="I93" s="93" t="s">
        <v>88</v>
      </c>
      <c r="J93" s="93" t="s">
        <v>453</v>
      </c>
      <c r="K93" s="93" t="s">
        <v>454</v>
      </c>
      <c r="L93" s="93" t="s">
        <v>455</v>
      </c>
      <c r="M93" s="102">
        <v>1.6500018050133E13</v>
      </c>
      <c r="N93" s="93" t="s">
        <v>456</v>
      </c>
      <c r="O93" s="93" t="s">
        <v>94</v>
      </c>
      <c r="P93" s="93">
        <v>12.0</v>
      </c>
      <c r="Q93" s="93">
        <v>1.0</v>
      </c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>
        <v>1.0</v>
      </c>
      <c r="AC93" s="93">
        <v>1.0</v>
      </c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5" t="s">
        <v>95</v>
      </c>
      <c r="AR93" s="95" t="s">
        <v>95</v>
      </c>
      <c r="AS93" s="95" t="s">
        <v>96</v>
      </c>
      <c r="AT93" s="96" t="s">
        <v>457</v>
      </c>
      <c r="AU93" s="93"/>
      <c r="AV93" s="93"/>
      <c r="AW93" s="93"/>
      <c r="AX93" s="95" t="s">
        <v>99</v>
      </c>
      <c r="AY93" s="93" t="str">
        <f t="shared" si="36"/>
        <v>#REF!</v>
      </c>
      <c r="AZ93" s="95"/>
      <c r="BA93" s="95"/>
    </row>
    <row r="94" ht="30.75" customHeight="1">
      <c r="A94" s="93"/>
      <c r="B94" s="94" t="s">
        <v>107</v>
      </c>
      <c r="C94" s="94" t="s">
        <v>83</v>
      </c>
      <c r="D94" s="93">
        <v>28.0</v>
      </c>
      <c r="E94" s="93" t="s">
        <v>84</v>
      </c>
      <c r="F94" s="93" t="s">
        <v>458</v>
      </c>
      <c r="G94" s="93" t="s">
        <v>86</v>
      </c>
      <c r="H94" s="93" t="s">
        <v>459</v>
      </c>
      <c r="I94" s="93" t="s">
        <v>88</v>
      </c>
      <c r="J94" s="93" t="s">
        <v>460</v>
      </c>
      <c r="K94" s="93" t="s">
        <v>93</v>
      </c>
      <c r="L94" s="93" t="s">
        <v>461</v>
      </c>
      <c r="M94" s="93" t="s">
        <v>462</v>
      </c>
      <c r="N94" s="93" t="s">
        <v>93</v>
      </c>
      <c r="O94" s="93" t="s">
        <v>463</v>
      </c>
      <c r="P94" s="93">
        <v>12.0</v>
      </c>
      <c r="Q94" s="93">
        <v>1.0</v>
      </c>
      <c r="R94" s="93" t="s">
        <v>98</v>
      </c>
      <c r="S94" s="93" t="s">
        <v>98</v>
      </c>
      <c r="T94" s="93" t="s">
        <v>98</v>
      </c>
      <c r="U94" s="93" t="s">
        <v>98</v>
      </c>
      <c r="V94" s="93" t="s">
        <v>98</v>
      </c>
      <c r="W94" s="93" t="s">
        <v>98</v>
      </c>
      <c r="X94" s="93" t="s">
        <v>98</v>
      </c>
      <c r="Y94" s="93" t="s">
        <v>98</v>
      </c>
      <c r="Z94" s="93" t="s">
        <v>98</v>
      </c>
      <c r="AA94" s="93" t="s">
        <v>98</v>
      </c>
      <c r="AB94" s="93" t="s">
        <v>98</v>
      </c>
      <c r="AC94" s="93" t="s">
        <v>98</v>
      </c>
      <c r="AD94" s="93" t="s">
        <v>98</v>
      </c>
      <c r="AE94" s="93" t="s">
        <v>98</v>
      </c>
      <c r="AF94" s="93" t="s">
        <v>98</v>
      </c>
      <c r="AG94" s="93" t="s">
        <v>98</v>
      </c>
      <c r="AH94" s="93" t="s">
        <v>98</v>
      </c>
      <c r="AI94" s="93" t="s">
        <v>98</v>
      </c>
      <c r="AJ94" s="93" t="s">
        <v>98</v>
      </c>
      <c r="AK94" s="93" t="s">
        <v>98</v>
      </c>
      <c r="AL94" s="93" t="s">
        <v>98</v>
      </c>
      <c r="AM94" s="93" t="s">
        <v>98</v>
      </c>
      <c r="AN94" s="93" t="s">
        <v>98</v>
      </c>
      <c r="AO94" s="93" t="s">
        <v>98</v>
      </c>
      <c r="AP94" s="93" t="str">
        <f t="shared" ref="AP94:AP95" si="40">#REF!</f>
        <v>#REF!</v>
      </c>
      <c r="AQ94" s="95" t="s">
        <v>98</v>
      </c>
      <c r="AR94" s="95" t="s">
        <v>98</v>
      </c>
      <c r="AS94" s="95" t="str">
        <f t="shared" ref="AS94:AS95" si="41">DATE(YEAR(AQ94),MONTH(AQ94)+P94,DAY(AQ94))</f>
        <v>#VALUE!</v>
      </c>
      <c r="AT94" s="95" t="s">
        <v>98</v>
      </c>
      <c r="AU94" s="95" t="s">
        <v>98</v>
      </c>
      <c r="AV94" s="95" t="s">
        <v>98</v>
      </c>
      <c r="AW94" s="95" t="s">
        <v>98</v>
      </c>
      <c r="AX94" s="93" t="s">
        <v>113</v>
      </c>
      <c r="AY94" s="93" t="str">
        <f t="shared" si="36"/>
        <v>#REF!</v>
      </c>
      <c r="AZ94" s="95">
        <f t="shared" ref="AZ94:AZ95" si="42">TODAY()</f>
        <v>46171</v>
      </c>
      <c r="BA94" s="95"/>
    </row>
    <row r="95" ht="30.75" customHeight="1">
      <c r="A95" s="93"/>
      <c r="B95" s="94" t="s">
        <v>107</v>
      </c>
      <c r="C95" s="94" t="s">
        <v>83</v>
      </c>
      <c r="D95" s="94">
        <v>27.0</v>
      </c>
      <c r="E95" s="93" t="s">
        <v>84</v>
      </c>
      <c r="F95" s="93" t="s">
        <v>464</v>
      </c>
      <c r="G95" s="93" t="s">
        <v>86</v>
      </c>
      <c r="H95" s="93" t="s">
        <v>465</v>
      </c>
      <c r="I95" s="93" t="s">
        <v>88</v>
      </c>
      <c r="J95" s="93" t="s">
        <v>460</v>
      </c>
      <c r="K95" s="93" t="s">
        <v>93</v>
      </c>
      <c r="L95" s="93" t="s">
        <v>461</v>
      </c>
      <c r="M95" s="93" t="s">
        <v>466</v>
      </c>
      <c r="N95" s="93" t="s">
        <v>93</v>
      </c>
      <c r="O95" s="93" t="s">
        <v>463</v>
      </c>
      <c r="P95" s="93">
        <v>12.0</v>
      </c>
      <c r="Q95" s="93">
        <v>1.0</v>
      </c>
      <c r="R95" s="93" t="s">
        <v>98</v>
      </c>
      <c r="S95" s="93" t="s">
        <v>98</v>
      </c>
      <c r="T95" s="93" t="s">
        <v>98</v>
      </c>
      <c r="U95" s="93" t="s">
        <v>98</v>
      </c>
      <c r="V95" s="93" t="s">
        <v>98</v>
      </c>
      <c r="W95" s="93" t="s">
        <v>98</v>
      </c>
      <c r="X95" s="93" t="s">
        <v>98</v>
      </c>
      <c r="Y95" s="93" t="s">
        <v>98</v>
      </c>
      <c r="Z95" s="93" t="s">
        <v>98</v>
      </c>
      <c r="AA95" s="93" t="s">
        <v>98</v>
      </c>
      <c r="AB95" s="93" t="s">
        <v>98</v>
      </c>
      <c r="AC95" s="93" t="s">
        <v>98</v>
      </c>
      <c r="AD95" s="93" t="s">
        <v>98</v>
      </c>
      <c r="AE95" s="93" t="s">
        <v>98</v>
      </c>
      <c r="AF95" s="93" t="s">
        <v>98</v>
      </c>
      <c r="AG95" s="93" t="s">
        <v>98</v>
      </c>
      <c r="AH95" s="93" t="s">
        <v>98</v>
      </c>
      <c r="AI95" s="93" t="s">
        <v>98</v>
      </c>
      <c r="AJ95" s="93" t="s">
        <v>98</v>
      </c>
      <c r="AK95" s="93" t="s">
        <v>98</v>
      </c>
      <c r="AL95" s="93" t="s">
        <v>98</v>
      </c>
      <c r="AM95" s="93" t="s">
        <v>98</v>
      </c>
      <c r="AN95" s="93" t="s">
        <v>98</v>
      </c>
      <c r="AO95" s="93" t="s">
        <v>98</v>
      </c>
      <c r="AP95" s="93" t="str">
        <f t="shared" si="40"/>
        <v>#REF!</v>
      </c>
      <c r="AQ95" s="95" t="s">
        <v>98</v>
      </c>
      <c r="AR95" s="95" t="s">
        <v>98</v>
      </c>
      <c r="AS95" s="95" t="str">
        <f t="shared" si="41"/>
        <v>#VALUE!</v>
      </c>
      <c r="AT95" s="95" t="s">
        <v>98</v>
      </c>
      <c r="AU95" s="95" t="s">
        <v>98</v>
      </c>
      <c r="AV95" s="95" t="s">
        <v>98</v>
      </c>
      <c r="AW95" s="95" t="s">
        <v>98</v>
      </c>
      <c r="AX95" s="93" t="s">
        <v>113</v>
      </c>
      <c r="AY95" s="93" t="str">
        <f t="shared" si="36"/>
        <v>#REF!</v>
      </c>
      <c r="AZ95" s="95">
        <f t="shared" si="42"/>
        <v>46171</v>
      </c>
      <c r="BA95" s="95"/>
    </row>
    <row r="96" ht="30.75" customHeight="1">
      <c r="A96" s="93"/>
      <c r="B96" s="94" t="s">
        <v>82</v>
      </c>
      <c r="C96" s="94" t="s">
        <v>83</v>
      </c>
      <c r="D96" s="93">
        <v>3.0</v>
      </c>
      <c r="E96" s="93" t="s">
        <v>131</v>
      </c>
      <c r="F96" s="93" t="s">
        <v>467</v>
      </c>
      <c r="G96" s="93" t="s">
        <v>86</v>
      </c>
      <c r="H96" s="93" t="s">
        <v>98</v>
      </c>
      <c r="I96" s="93" t="s">
        <v>88</v>
      </c>
      <c r="J96" s="93" t="s">
        <v>468</v>
      </c>
      <c r="K96" s="93" t="s">
        <v>469</v>
      </c>
      <c r="L96" s="93" t="s">
        <v>470</v>
      </c>
      <c r="M96" s="93" t="s">
        <v>98</v>
      </c>
      <c r="N96" s="93" t="s">
        <v>471</v>
      </c>
      <c r="O96" s="93" t="s">
        <v>94</v>
      </c>
      <c r="P96" s="93">
        <v>12.0</v>
      </c>
      <c r="Q96" s="93" t="s">
        <v>98</v>
      </c>
      <c r="R96" s="93" t="s">
        <v>98</v>
      </c>
      <c r="S96" s="93" t="s">
        <v>98</v>
      </c>
      <c r="T96" s="93" t="s">
        <v>98</v>
      </c>
      <c r="U96" s="93" t="s">
        <v>98</v>
      </c>
      <c r="V96" s="93" t="s">
        <v>98</v>
      </c>
      <c r="W96" s="93" t="s">
        <v>98</v>
      </c>
      <c r="X96" s="93" t="s">
        <v>98</v>
      </c>
      <c r="Y96" s="93" t="s">
        <v>98</v>
      </c>
      <c r="Z96" s="93" t="s">
        <v>98</v>
      </c>
      <c r="AA96" s="93" t="s">
        <v>98</v>
      </c>
      <c r="AB96" s="93" t="s">
        <v>98</v>
      </c>
      <c r="AC96" s="93" t="s">
        <v>98</v>
      </c>
      <c r="AD96" s="93" t="s">
        <v>98</v>
      </c>
      <c r="AE96" s="93" t="s">
        <v>98</v>
      </c>
      <c r="AF96" s="93" t="s">
        <v>98</v>
      </c>
      <c r="AG96" s="93" t="s">
        <v>98</v>
      </c>
      <c r="AH96" s="93" t="s">
        <v>98</v>
      </c>
      <c r="AI96" s="93" t="s">
        <v>98</v>
      </c>
      <c r="AJ96" s="93" t="s">
        <v>98</v>
      </c>
      <c r="AK96" s="93" t="s">
        <v>98</v>
      </c>
      <c r="AL96" s="93" t="s">
        <v>98</v>
      </c>
      <c r="AM96" s="93" t="s">
        <v>98</v>
      </c>
      <c r="AN96" s="93" t="s">
        <v>98</v>
      </c>
      <c r="AO96" s="93" t="s">
        <v>98</v>
      </c>
      <c r="AP96" s="93">
        <v>0.0</v>
      </c>
      <c r="AQ96" s="93" t="s">
        <v>98</v>
      </c>
      <c r="AR96" s="93" t="s">
        <v>98</v>
      </c>
      <c r="AS96" s="93" t="e">
        <v>#VALUE!</v>
      </c>
      <c r="AT96" s="93" t="s">
        <v>98</v>
      </c>
      <c r="AU96" s="93" t="s">
        <v>98</v>
      </c>
      <c r="AV96" s="93" t="s">
        <v>98</v>
      </c>
      <c r="AW96" s="93" t="s">
        <v>98</v>
      </c>
      <c r="AX96" s="93" t="s">
        <v>472</v>
      </c>
      <c r="AY96" s="93">
        <v>0.0</v>
      </c>
      <c r="AZ96" s="95">
        <v>45370.0</v>
      </c>
      <c r="BA96" s="95"/>
    </row>
    <row r="97" ht="30.75" customHeight="1">
      <c r="A97" s="93" t="s">
        <v>81</v>
      </c>
      <c r="B97" s="94" t="s">
        <v>82</v>
      </c>
      <c r="C97" s="94" t="s">
        <v>83</v>
      </c>
      <c r="D97" s="93">
        <v>6.0</v>
      </c>
      <c r="E97" s="93" t="s">
        <v>116</v>
      </c>
      <c r="F97" s="93"/>
      <c r="G97" s="93" t="s">
        <v>86</v>
      </c>
      <c r="H97" s="93" t="s">
        <v>473</v>
      </c>
      <c r="I97" s="93" t="s">
        <v>88</v>
      </c>
      <c r="J97" s="93" t="s">
        <v>468</v>
      </c>
      <c r="K97" s="93" t="s">
        <v>474</v>
      </c>
      <c r="L97" s="93" t="s">
        <v>470</v>
      </c>
      <c r="M97" s="102" t="s">
        <v>98</v>
      </c>
      <c r="N97" s="93"/>
      <c r="O97" s="93" t="s">
        <v>94</v>
      </c>
      <c r="P97" s="93">
        <v>12.0</v>
      </c>
      <c r="Q97" s="93">
        <v>1.0</v>
      </c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>
        <v>1.0</v>
      </c>
      <c r="AC97" s="93">
        <v>1.0</v>
      </c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 t="str">
        <f t="shared" ref="AP97:AP114" si="43">#REF!</f>
        <v>#REF!</v>
      </c>
      <c r="AQ97" s="95" t="s">
        <v>95</v>
      </c>
      <c r="AR97" s="95" t="s">
        <v>95</v>
      </c>
      <c r="AS97" s="95" t="str">
        <f t="shared" ref="AS97:AS99" si="44">DATE(YEAR(AQ97),MONTH(AQ97)+P97,DAY(AQ97))</f>
        <v>#VALUE!</v>
      </c>
      <c r="AT97" s="93" t="s">
        <v>475</v>
      </c>
      <c r="AU97" s="93" t="s">
        <v>476</v>
      </c>
      <c r="AV97" s="93" t="s">
        <v>477</v>
      </c>
      <c r="AW97" s="93" t="s">
        <v>478</v>
      </c>
      <c r="AX97" s="95" t="s">
        <v>99</v>
      </c>
      <c r="AY97" s="93" t="str">
        <f>#REF!</f>
        <v>#REF!</v>
      </c>
      <c r="AZ97" s="95">
        <f t="shared" ref="AZ97:AZ99" si="45">TODAY()</f>
        <v>46171</v>
      </c>
      <c r="BA97" s="95"/>
    </row>
    <row r="98" ht="30.75" customHeight="1">
      <c r="A98" s="93" t="s">
        <v>114</v>
      </c>
      <c r="B98" s="94" t="s">
        <v>82</v>
      </c>
      <c r="C98" s="94" t="s">
        <v>83</v>
      </c>
      <c r="D98" s="93"/>
      <c r="E98" s="93" t="s">
        <v>116</v>
      </c>
      <c r="F98" s="93" t="s">
        <v>479</v>
      </c>
      <c r="G98" s="93" t="s">
        <v>86</v>
      </c>
      <c r="H98" s="93" t="s">
        <v>480</v>
      </c>
      <c r="I98" s="93" t="s">
        <v>88</v>
      </c>
      <c r="J98" s="93" t="s">
        <v>468</v>
      </c>
      <c r="K98" s="93" t="s">
        <v>474</v>
      </c>
      <c r="L98" s="93" t="s">
        <v>470</v>
      </c>
      <c r="M98" s="102" t="s">
        <v>98</v>
      </c>
      <c r="N98" s="93"/>
      <c r="O98" s="93" t="s">
        <v>94</v>
      </c>
      <c r="P98" s="93">
        <v>12.0</v>
      </c>
      <c r="Q98" s="93">
        <v>1.0</v>
      </c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>
        <v>1.0</v>
      </c>
      <c r="AC98" s="93">
        <v>1.0</v>
      </c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 t="str">
        <f t="shared" si="43"/>
        <v>#REF!</v>
      </c>
      <c r="AQ98" s="95" t="s">
        <v>95</v>
      </c>
      <c r="AR98" s="95" t="s">
        <v>95</v>
      </c>
      <c r="AS98" s="95" t="str">
        <f t="shared" si="44"/>
        <v>#VALUE!</v>
      </c>
      <c r="AT98" s="93" t="s">
        <v>481</v>
      </c>
      <c r="AU98" s="93"/>
      <c r="AV98" s="93"/>
      <c r="AW98" s="93"/>
      <c r="AX98" s="95"/>
      <c r="AY98" s="93"/>
      <c r="AZ98" s="95">
        <f t="shared" si="45"/>
        <v>46171</v>
      </c>
      <c r="BA98" s="95"/>
    </row>
    <row r="99" ht="30.75" customHeight="1">
      <c r="A99" s="93" t="s">
        <v>81</v>
      </c>
      <c r="B99" s="94" t="s">
        <v>82</v>
      </c>
      <c r="C99" s="94" t="s">
        <v>83</v>
      </c>
      <c r="D99" s="93">
        <v>3.0</v>
      </c>
      <c r="E99" s="93" t="s">
        <v>153</v>
      </c>
      <c r="F99" s="93" t="s">
        <v>482</v>
      </c>
      <c r="G99" s="93" t="s">
        <v>86</v>
      </c>
      <c r="H99" s="93"/>
      <c r="I99" s="93" t="s">
        <v>88</v>
      </c>
      <c r="J99" s="93" t="s">
        <v>468</v>
      </c>
      <c r="K99" s="93" t="s">
        <v>469</v>
      </c>
      <c r="L99" s="93" t="s">
        <v>470</v>
      </c>
      <c r="M99" s="93"/>
      <c r="N99" s="93"/>
      <c r="O99" s="93" t="s">
        <v>94</v>
      </c>
      <c r="P99" s="93">
        <v>12.0</v>
      </c>
      <c r="Q99" s="93" t="s">
        <v>98</v>
      </c>
      <c r="R99" s="93" t="s">
        <v>98</v>
      </c>
      <c r="S99" s="93" t="s">
        <v>98</v>
      </c>
      <c r="T99" s="93" t="s">
        <v>98</v>
      </c>
      <c r="U99" s="93" t="s">
        <v>98</v>
      </c>
      <c r="V99" s="93" t="s">
        <v>98</v>
      </c>
      <c r="W99" s="93" t="s">
        <v>98</v>
      </c>
      <c r="X99" s="93" t="s">
        <v>98</v>
      </c>
      <c r="Y99" s="93" t="s">
        <v>98</v>
      </c>
      <c r="Z99" s="93" t="s">
        <v>98</v>
      </c>
      <c r="AA99" s="93" t="s">
        <v>98</v>
      </c>
      <c r="AB99" s="93" t="s">
        <v>98</v>
      </c>
      <c r="AC99" s="93" t="s">
        <v>98</v>
      </c>
      <c r="AD99" s="93" t="s">
        <v>98</v>
      </c>
      <c r="AE99" s="93" t="s">
        <v>98</v>
      </c>
      <c r="AF99" s="93" t="s">
        <v>98</v>
      </c>
      <c r="AG99" s="93" t="s">
        <v>98</v>
      </c>
      <c r="AH99" s="93" t="s">
        <v>98</v>
      </c>
      <c r="AI99" s="93" t="s">
        <v>98</v>
      </c>
      <c r="AJ99" s="93" t="s">
        <v>98</v>
      </c>
      <c r="AK99" s="93" t="s">
        <v>98</v>
      </c>
      <c r="AL99" s="93" t="s">
        <v>98</v>
      </c>
      <c r="AM99" s="93" t="s">
        <v>98</v>
      </c>
      <c r="AN99" s="93" t="s">
        <v>98</v>
      </c>
      <c r="AO99" s="93" t="s">
        <v>98</v>
      </c>
      <c r="AP99" s="93" t="str">
        <f t="shared" si="43"/>
        <v>#REF!</v>
      </c>
      <c r="AQ99" s="95" t="s">
        <v>98</v>
      </c>
      <c r="AR99" s="95" t="s">
        <v>98</v>
      </c>
      <c r="AS99" s="95" t="str">
        <f t="shared" si="44"/>
        <v>#VALUE!</v>
      </c>
      <c r="AT99" s="95" t="s">
        <v>98</v>
      </c>
      <c r="AU99" s="95" t="s">
        <v>98</v>
      </c>
      <c r="AV99" s="95" t="s">
        <v>98</v>
      </c>
      <c r="AW99" s="95" t="s">
        <v>98</v>
      </c>
      <c r="AX99" s="93" t="s">
        <v>472</v>
      </c>
      <c r="AY99" s="93" t="str">
        <f t="shared" ref="AY99:AY114" si="46">#REF!</f>
        <v>#REF!</v>
      </c>
      <c r="AZ99" s="95">
        <f t="shared" si="45"/>
        <v>46171</v>
      </c>
      <c r="BA99" s="95"/>
    </row>
    <row r="100" ht="30.75" customHeight="1">
      <c r="A100" s="93" t="s">
        <v>81</v>
      </c>
      <c r="B100" s="94" t="s">
        <v>82</v>
      </c>
      <c r="C100" s="94" t="s">
        <v>83</v>
      </c>
      <c r="D100" s="93">
        <v>4.0</v>
      </c>
      <c r="E100" s="93" t="s">
        <v>153</v>
      </c>
      <c r="F100" s="93" t="s">
        <v>483</v>
      </c>
      <c r="G100" s="93" t="s">
        <v>86</v>
      </c>
      <c r="H100" s="93"/>
      <c r="I100" s="93" t="s">
        <v>88</v>
      </c>
      <c r="J100" s="93" t="s">
        <v>468</v>
      </c>
      <c r="K100" s="93" t="s">
        <v>469</v>
      </c>
      <c r="L100" s="93" t="s">
        <v>470</v>
      </c>
      <c r="M100" s="93"/>
      <c r="N100" s="93"/>
      <c r="O100" s="93" t="s">
        <v>94</v>
      </c>
      <c r="P100" s="93">
        <v>12.0</v>
      </c>
      <c r="Q100" s="93" t="s">
        <v>98</v>
      </c>
      <c r="R100" s="93" t="s">
        <v>98</v>
      </c>
      <c r="S100" s="93" t="s">
        <v>98</v>
      </c>
      <c r="T100" s="93" t="s">
        <v>98</v>
      </c>
      <c r="U100" s="93" t="s">
        <v>98</v>
      </c>
      <c r="V100" s="93" t="s">
        <v>98</v>
      </c>
      <c r="W100" s="93" t="s">
        <v>98</v>
      </c>
      <c r="X100" s="93" t="s">
        <v>98</v>
      </c>
      <c r="Y100" s="93" t="s">
        <v>98</v>
      </c>
      <c r="Z100" s="93" t="s">
        <v>98</v>
      </c>
      <c r="AA100" s="93" t="s">
        <v>98</v>
      </c>
      <c r="AB100" s="93" t="s">
        <v>98</v>
      </c>
      <c r="AC100" s="93" t="s">
        <v>98</v>
      </c>
      <c r="AD100" s="93" t="s">
        <v>98</v>
      </c>
      <c r="AE100" s="93" t="s">
        <v>98</v>
      </c>
      <c r="AF100" s="93">
        <v>1.0</v>
      </c>
      <c r="AG100" s="93">
        <v>1.0</v>
      </c>
      <c r="AH100" s="93" t="s">
        <v>98</v>
      </c>
      <c r="AI100" s="93" t="s">
        <v>98</v>
      </c>
      <c r="AJ100" s="93" t="s">
        <v>98</v>
      </c>
      <c r="AK100" s="93" t="s">
        <v>98</v>
      </c>
      <c r="AL100" s="93" t="s">
        <v>98</v>
      </c>
      <c r="AM100" s="93" t="s">
        <v>98</v>
      </c>
      <c r="AN100" s="93" t="s">
        <v>98</v>
      </c>
      <c r="AO100" s="93" t="s">
        <v>98</v>
      </c>
      <c r="AP100" s="93" t="str">
        <f t="shared" si="43"/>
        <v>#REF!</v>
      </c>
      <c r="AQ100" s="93" t="s">
        <v>484</v>
      </c>
      <c r="AR100" s="93" t="s">
        <v>484</v>
      </c>
      <c r="AS100" s="93" t="s">
        <v>485</v>
      </c>
      <c r="AT100" s="93" t="s">
        <v>486</v>
      </c>
      <c r="AU100" s="95" t="s">
        <v>98</v>
      </c>
      <c r="AV100" s="95" t="s">
        <v>98</v>
      </c>
      <c r="AW100" s="95" t="s">
        <v>98</v>
      </c>
      <c r="AX100" s="93" t="s">
        <v>99</v>
      </c>
      <c r="AY100" s="93" t="str">
        <f t="shared" si="46"/>
        <v>#REF!</v>
      </c>
      <c r="AZ100" s="95"/>
      <c r="BA100" s="95"/>
    </row>
    <row r="101" ht="30.75" customHeight="1">
      <c r="A101" s="93" t="s">
        <v>487</v>
      </c>
      <c r="B101" s="94" t="s">
        <v>107</v>
      </c>
      <c r="C101" s="94" t="s">
        <v>83</v>
      </c>
      <c r="D101" s="93">
        <v>5.0</v>
      </c>
      <c r="E101" s="93" t="s">
        <v>173</v>
      </c>
      <c r="F101" s="122" t="s">
        <v>488</v>
      </c>
      <c r="G101" s="93" t="s">
        <v>86</v>
      </c>
      <c r="H101" s="93" t="s">
        <v>98</v>
      </c>
      <c r="I101" s="93" t="s">
        <v>88</v>
      </c>
      <c r="J101" s="93" t="s">
        <v>468</v>
      </c>
      <c r="K101" s="93" t="s">
        <v>469</v>
      </c>
      <c r="L101" s="93" t="s">
        <v>470</v>
      </c>
      <c r="M101" s="93" t="s">
        <v>98</v>
      </c>
      <c r="N101" s="93" t="s">
        <v>98</v>
      </c>
      <c r="O101" s="93" t="s">
        <v>94</v>
      </c>
      <c r="P101" s="93">
        <v>12.0</v>
      </c>
      <c r="Q101" s="93" t="s">
        <v>98</v>
      </c>
      <c r="R101" s="93" t="s">
        <v>98</v>
      </c>
      <c r="S101" s="93" t="s">
        <v>98</v>
      </c>
      <c r="T101" s="93" t="s">
        <v>98</v>
      </c>
      <c r="U101" s="93" t="s">
        <v>98</v>
      </c>
      <c r="V101" s="93" t="s">
        <v>98</v>
      </c>
      <c r="W101" s="93" t="s">
        <v>98</v>
      </c>
      <c r="X101" s="93" t="s">
        <v>98</v>
      </c>
      <c r="Y101" s="93" t="s">
        <v>98</v>
      </c>
      <c r="Z101" s="93" t="s">
        <v>98</v>
      </c>
      <c r="AA101" s="93" t="s">
        <v>98</v>
      </c>
      <c r="AB101" s="93" t="s">
        <v>98</v>
      </c>
      <c r="AC101" s="93" t="s">
        <v>98</v>
      </c>
      <c r="AD101" s="93" t="s">
        <v>98</v>
      </c>
      <c r="AE101" s="93" t="s">
        <v>98</v>
      </c>
      <c r="AF101" s="93" t="s">
        <v>98</v>
      </c>
      <c r="AG101" s="93" t="s">
        <v>98</v>
      </c>
      <c r="AH101" s="93" t="s">
        <v>98</v>
      </c>
      <c r="AI101" s="93" t="s">
        <v>98</v>
      </c>
      <c r="AJ101" s="93" t="s">
        <v>98</v>
      </c>
      <c r="AK101" s="93" t="s">
        <v>98</v>
      </c>
      <c r="AL101" s="93" t="s">
        <v>98</v>
      </c>
      <c r="AM101" s="93" t="s">
        <v>98</v>
      </c>
      <c r="AN101" s="93" t="s">
        <v>98</v>
      </c>
      <c r="AO101" s="93" t="s">
        <v>98</v>
      </c>
      <c r="AP101" s="93" t="str">
        <f t="shared" si="43"/>
        <v>#REF!</v>
      </c>
      <c r="AQ101" s="95" t="s">
        <v>98</v>
      </c>
      <c r="AR101" s="95" t="s">
        <v>98</v>
      </c>
      <c r="AS101" s="95" t="str">
        <f t="shared" ref="AS101:AS114" si="47">DATE(YEAR(AQ101),MONTH(AQ101)+P101,DAY(AQ101))</f>
        <v>#VALUE!</v>
      </c>
      <c r="AT101" s="95" t="s">
        <v>98</v>
      </c>
      <c r="AU101" s="95" t="s">
        <v>98</v>
      </c>
      <c r="AV101" s="95" t="s">
        <v>98</v>
      </c>
      <c r="AW101" s="95" t="s">
        <v>98</v>
      </c>
      <c r="AX101" s="93" t="s">
        <v>472</v>
      </c>
      <c r="AY101" s="93" t="str">
        <f t="shared" si="46"/>
        <v>#REF!</v>
      </c>
      <c r="AZ101" s="95">
        <f t="shared" ref="AZ101:AZ126" si="48">TODAY()</f>
        <v>46171</v>
      </c>
      <c r="BA101" s="95"/>
    </row>
    <row r="102" ht="30.75" customHeight="1">
      <c r="A102" s="93" t="s">
        <v>176</v>
      </c>
      <c r="B102" s="94" t="s">
        <v>107</v>
      </c>
      <c r="C102" s="94" t="s">
        <v>83</v>
      </c>
      <c r="D102" s="93">
        <v>4.0</v>
      </c>
      <c r="E102" s="93" t="s">
        <v>173</v>
      </c>
      <c r="F102" s="93" t="s">
        <v>98</v>
      </c>
      <c r="G102" s="93" t="s">
        <v>86</v>
      </c>
      <c r="H102" s="93" t="s">
        <v>489</v>
      </c>
      <c r="I102" s="93" t="s">
        <v>88</v>
      </c>
      <c r="J102" s="93" t="s">
        <v>468</v>
      </c>
      <c r="K102" s="93" t="s">
        <v>469</v>
      </c>
      <c r="L102" s="93" t="s">
        <v>490</v>
      </c>
      <c r="M102" s="93" t="s">
        <v>491</v>
      </c>
      <c r="N102" s="93" t="s">
        <v>98</v>
      </c>
      <c r="O102" s="93" t="s">
        <v>94</v>
      </c>
      <c r="P102" s="93">
        <v>12.0</v>
      </c>
      <c r="Q102" s="93" t="s">
        <v>98</v>
      </c>
      <c r="R102" s="93" t="s">
        <v>98</v>
      </c>
      <c r="S102" s="93" t="s">
        <v>98</v>
      </c>
      <c r="T102" s="93" t="s">
        <v>98</v>
      </c>
      <c r="U102" s="93" t="s">
        <v>98</v>
      </c>
      <c r="V102" s="93" t="s">
        <v>98</v>
      </c>
      <c r="W102" s="93" t="s">
        <v>98</v>
      </c>
      <c r="X102" s="93" t="s">
        <v>98</v>
      </c>
      <c r="Y102" s="93" t="s">
        <v>98</v>
      </c>
      <c r="Z102" s="93" t="s">
        <v>98</v>
      </c>
      <c r="AA102" s="93" t="s">
        <v>98</v>
      </c>
      <c r="AB102" s="93" t="s">
        <v>98</v>
      </c>
      <c r="AC102" s="93" t="s">
        <v>98</v>
      </c>
      <c r="AD102" s="93" t="s">
        <v>98</v>
      </c>
      <c r="AE102" s="93" t="s">
        <v>98</v>
      </c>
      <c r="AF102" s="93" t="s">
        <v>98</v>
      </c>
      <c r="AG102" s="93" t="s">
        <v>98</v>
      </c>
      <c r="AH102" s="93" t="s">
        <v>98</v>
      </c>
      <c r="AI102" s="93" t="s">
        <v>98</v>
      </c>
      <c r="AJ102" s="93" t="s">
        <v>98</v>
      </c>
      <c r="AK102" s="93" t="s">
        <v>98</v>
      </c>
      <c r="AL102" s="93" t="s">
        <v>98</v>
      </c>
      <c r="AM102" s="93" t="s">
        <v>98</v>
      </c>
      <c r="AN102" s="93" t="s">
        <v>98</v>
      </c>
      <c r="AO102" s="93" t="s">
        <v>98</v>
      </c>
      <c r="AP102" s="93" t="str">
        <f t="shared" si="43"/>
        <v>#REF!</v>
      </c>
      <c r="AQ102" s="95" t="s">
        <v>98</v>
      </c>
      <c r="AR102" s="95" t="s">
        <v>98</v>
      </c>
      <c r="AS102" s="95" t="str">
        <f t="shared" si="47"/>
        <v>#VALUE!</v>
      </c>
      <c r="AT102" s="95" t="s">
        <v>98</v>
      </c>
      <c r="AU102" s="95" t="s">
        <v>98</v>
      </c>
      <c r="AV102" s="95" t="s">
        <v>98</v>
      </c>
      <c r="AW102" s="95" t="s">
        <v>98</v>
      </c>
      <c r="AX102" s="93" t="s">
        <v>472</v>
      </c>
      <c r="AY102" s="93" t="str">
        <f t="shared" si="46"/>
        <v>#REF!</v>
      </c>
      <c r="AZ102" s="95">
        <f t="shared" si="48"/>
        <v>46171</v>
      </c>
      <c r="BA102" s="95"/>
    </row>
    <row r="103" ht="30.75" customHeight="1">
      <c r="A103" s="93"/>
      <c r="B103" s="94" t="s">
        <v>82</v>
      </c>
      <c r="C103" s="110" t="s">
        <v>83</v>
      </c>
      <c r="D103" s="93">
        <v>4.0</v>
      </c>
      <c r="E103" s="111" t="s">
        <v>108</v>
      </c>
      <c r="F103" s="93" t="s">
        <v>98</v>
      </c>
      <c r="G103" s="93" t="s">
        <v>86</v>
      </c>
      <c r="H103" s="93" t="s">
        <v>492</v>
      </c>
      <c r="I103" s="93" t="s">
        <v>88</v>
      </c>
      <c r="J103" s="93" t="s">
        <v>468</v>
      </c>
      <c r="K103" s="93" t="s">
        <v>474</v>
      </c>
      <c r="L103" s="93" t="s">
        <v>490</v>
      </c>
      <c r="M103" s="93" t="s">
        <v>207</v>
      </c>
      <c r="N103" s="93" t="s">
        <v>493</v>
      </c>
      <c r="O103" s="93" t="s">
        <v>94</v>
      </c>
      <c r="P103" s="111">
        <v>12.0</v>
      </c>
      <c r="Q103" s="111" t="s">
        <v>98</v>
      </c>
      <c r="R103" s="93" t="s">
        <v>98</v>
      </c>
      <c r="S103" s="93" t="s">
        <v>98</v>
      </c>
      <c r="T103" s="93" t="s">
        <v>98</v>
      </c>
      <c r="U103" s="93" t="s">
        <v>98</v>
      </c>
      <c r="V103" s="93" t="s">
        <v>98</v>
      </c>
      <c r="W103" s="93" t="s">
        <v>98</v>
      </c>
      <c r="X103" s="93" t="s">
        <v>98</v>
      </c>
      <c r="Y103" s="93" t="s">
        <v>98</v>
      </c>
      <c r="Z103" s="93" t="s">
        <v>98</v>
      </c>
      <c r="AA103" s="93" t="s">
        <v>98</v>
      </c>
      <c r="AB103" s="93" t="s">
        <v>98</v>
      </c>
      <c r="AC103" s="93" t="s">
        <v>98</v>
      </c>
      <c r="AD103" s="93" t="s">
        <v>98</v>
      </c>
      <c r="AE103" s="93" t="s">
        <v>98</v>
      </c>
      <c r="AF103" s="93" t="s">
        <v>98</v>
      </c>
      <c r="AG103" s="93" t="s">
        <v>98</v>
      </c>
      <c r="AH103" s="93" t="s">
        <v>98</v>
      </c>
      <c r="AI103" s="93" t="s">
        <v>98</v>
      </c>
      <c r="AJ103" s="93" t="s">
        <v>98</v>
      </c>
      <c r="AK103" s="93" t="s">
        <v>98</v>
      </c>
      <c r="AL103" s="93" t="s">
        <v>98</v>
      </c>
      <c r="AM103" s="93" t="s">
        <v>98</v>
      </c>
      <c r="AN103" s="93" t="s">
        <v>98</v>
      </c>
      <c r="AO103" s="93" t="s">
        <v>98</v>
      </c>
      <c r="AP103" s="93" t="str">
        <f t="shared" si="43"/>
        <v>#REF!</v>
      </c>
      <c r="AQ103" s="95" t="s">
        <v>98</v>
      </c>
      <c r="AR103" s="95" t="s">
        <v>98</v>
      </c>
      <c r="AS103" s="95" t="str">
        <f t="shared" si="47"/>
        <v>#VALUE!</v>
      </c>
      <c r="AT103" s="95" t="s">
        <v>98</v>
      </c>
      <c r="AU103" s="95" t="s">
        <v>98</v>
      </c>
      <c r="AV103" s="95" t="s">
        <v>98</v>
      </c>
      <c r="AW103" s="95" t="s">
        <v>98</v>
      </c>
      <c r="AX103" s="93" t="s">
        <v>472</v>
      </c>
      <c r="AY103" s="93" t="str">
        <f t="shared" si="46"/>
        <v>#REF!</v>
      </c>
      <c r="AZ103" s="95">
        <f t="shared" si="48"/>
        <v>46171</v>
      </c>
      <c r="BA103" s="95"/>
    </row>
    <row r="104" ht="30.75" customHeight="1">
      <c r="A104" s="93"/>
      <c r="B104" s="94" t="s">
        <v>82</v>
      </c>
      <c r="C104" s="110" t="s">
        <v>83</v>
      </c>
      <c r="D104" s="93">
        <v>5.0</v>
      </c>
      <c r="E104" s="111" t="s">
        <v>108</v>
      </c>
      <c r="F104" s="93" t="s">
        <v>98</v>
      </c>
      <c r="G104" s="93" t="s">
        <v>86</v>
      </c>
      <c r="H104" s="93" t="s">
        <v>494</v>
      </c>
      <c r="I104" s="93" t="s">
        <v>88</v>
      </c>
      <c r="J104" s="93" t="s">
        <v>468</v>
      </c>
      <c r="K104" s="93" t="s">
        <v>474</v>
      </c>
      <c r="L104" s="93" t="s">
        <v>490</v>
      </c>
      <c r="M104" s="93" t="s">
        <v>207</v>
      </c>
      <c r="N104" s="93" t="s">
        <v>493</v>
      </c>
      <c r="O104" s="93" t="s">
        <v>94</v>
      </c>
      <c r="P104" s="111">
        <v>12.0</v>
      </c>
      <c r="Q104" s="111" t="s">
        <v>98</v>
      </c>
      <c r="R104" s="93" t="s">
        <v>98</v>
      </c>
      <c r="S104" s="93" t="s">
        <v>98</v>
      </c>
      <c r="T104" s="93" t="s">
        <v>98</v>
      </c>
      <c r="U104" s="93" t="s">
        <v>98</v>
      </c>
      <c r="V104" s="93" t="s">
        <v>98</v>
      </c>
      <c r="W104" s="93" t="s">
        <v>98</v>
      </c>
      <c r="X104" s="93" t="s">
        <v>98</v>
      </c>
      <c r="Y104" s="93" t="s">
        <v>98</v>
      </c>
      <c r="Z104" s="93" t="s">
        <v>98</v>
      </c>
      <c r="AA104" s="93" t="s">
        <v>98</v>
      </c>
      <c r="AB104" s="93" t="s">
        <v>98</v>
      </c>
      <c r="AC104" s="93" t="s">
        <v>98</v>
      </c>
      <c r="AD104" s="93" t="s">
        <v>98</v>
      </c>
      <c r="AE104" s="93" t="s">
        <v>98</v>
      </c>
      <c r="AF104" s="93" t="s">
        <v>98</v>
      </c>
      <c r="AG104" s="93" t="s">
        <v>98</v>
      </c>
      <c r="AH104" s="93" t="s">
        <v>98</v>
      </c>
      <c r="AI104" s="93" t="s">
        <v>98</v>
      </c>
      <c r="AJ104" s="93" t="s">
        <v>98</v>
      </c>
      <c r="AK104" s="93" t="s">
        <v>98</v>
      </c>
      <c r="AL104" s="93" t="s">
        <v>98</v>
      </c>
      <c r="AM104" s="93" t="s">
        <v>98</v>
      </c>
      <c r="AN104" s="93" t="s">
        <v>98</v>
      </c>
      <c r="AO104" s="93" t="s">
        <v>98</v>
      </c>
      <c r="AP104" s="93" t="str">
        <f t="shared" si="43"/>
        <v>#REF!</v>
      </c>
      <c r="AQ104" s="95" t="s">
        <v>98</v>
      </c>
      <c r="AR104" s="95" t="s">
        <v>98</v>
      </c>
      <c r="AS104" s="95" t="str">
        <f t="shared" si="47"/>
        <v>#VALUE!</v>
      </c>
      <c r="AT104" s="95" t="s">
        <v>98</v>
      </c>
      <c r="AU104" s="95" t="s">
        <v>98</v>
      </c>
      <c r="AV104" s="95" t="s">
        <v>98</v>
      </c>
      <c r="AW104" s="95" t="s">
        <v>98</v>
      </c>
      <c r="AX104" s="93" t="s">
        <v>472</v>
      </c>
      <c r="AY104" s="93" t="str">
        <f t="shared" si="46"/>
        <v>#REF!</v>
      </c>
      <c r="AZ104" s="95">
        <f t="shared" si="48"/>
        <v>46171</v>
      </c>
      <c r="BA104" s="95"/>
    </row>
    <row r="105" ht="30.75" customHeight="1">
      <c r="A105" s="93"/>
      <c r="B105" s="94" t="s">
        <v>82</v>
      </c>
      <c r="C105" s="110" t="s">
        <v>83</v>
      </c>
      <c r="D105" s="93">
        <v>6.0</v>
      </c>
      <c r="E105" s="111" t="s">
        <v>108</v>
      </c>
      <c r="F105" s="93" t="s">
        <v>98</v>
      </c>
      <c r="G105" s="93" t="s">
        <v>86</v>
      </c>
      <c r="H105" s="113" t="s">
        <v>495</v>
      </c>
      <c r="I105" s="93" t="s">
        <v>88</v>
      </c>
      <c r="J105" s="93" t="s">
        <v>468</v>
      </c>
      <c r="K105" s="93" t="s">
        <v>474</v>
      </c>
      <c r="L105" s="93" t="s">
        <v>490</v>
      </c>
      <c r="M105" s="93" t="s">
        <v>207</v>
      </c>
      <c r="N105" s="93" t="s">
        <v>493</v>
      </c>
      <c r="O105" s="93" t="s">
        <v>94</v>
      </c>
      <c r="P105" s="111">
        <v>12.0</v>
      </c>
      <c r="Q105" s="111" t="s">
        <v>98</v>
      </c>
      <c r="R105" s="93" t="s">
        <v>98</v>
      </c>
      <c r="S105" s="93" t="s">
        <v>98</v>
      </c>
      <c r="T105" s="93" t="s">
        <v>98</v>
      </c>
      <c r="U105" s="93" t="s">
        <v>98</v>
      </c>
      <c r="V105" s="93" t="s">
        <v>98</v>
      </c>
      <c r="W105" s="93" t="s">
        <v>98</v>
      </c>
      <c r="X105" s="93" t="s">
        <v>98</v>
      </c>
      <c r="Y105" s="93" t="s">
        <v>98</v>
      </c>
      <c r="Z105" s="93" t="s">
        <v>98</v>
      </c>
      <c r="AA105" s="93" t="s">
        <v>98</v>
      </c>
      <c r="AB105" s="93" t="s">
        <v>98</v>
      </c>
      <c r="AC105" s="93" t="s">
        <v>98</v>
      </c>
      <c r="AD105" s="93" t="s">
        <v>98</v>
      </c>
      <c r="AE105" s="93" t="s">
        <v>98</v>
      </c>
      <c r="AF105" s="93" t="s">
        <v>98</v>
      </c>
      <c r="AG105" s="93" t="s">
        <v>98</v>
      </c>
      <c r="AH105" s="93" t="s">
        <v>98</v>
      </c>
      <c r="AI105" s="93" t="s">
        <v>98</v>
      </c>
      <c r="AJ105" s="93" t="s">
        <v>98</v>
      </c>
      <c r="AK105" s="93" t="s">
        <v>98</v>
      </c>
      <c r="AL105" s="93" t="s">
        <v>98</v>
      </c>
      <c r="AM105" s="93" t="s">
        <v>98</v>
      </c>
      <c r="AN105" s="93" t="s">
        <v>98</v>
      </c>
      <c r="AO105" s="93" t="s">
        <v>98</v>
      </c>
      <c r="AP105" s="93" t="str">
        <f t="shared" si="43"/>
        <v>#REF!</v>
      </c>
      <c r="AQ105" s="95" t="s">
        <v>98</v>
      </c>
      <c r="AR105" s="95" t="s">
        <v>98</v>
      </c>
      <c r="AS105" s="95" t="str">
        <f t="shared" si="47"/>
        <v>#VALUE!</v>
      </c>
      <c r="AT105" s="95" t="s">
        <v>98</v>
      </c>
      <c r="AU105" s="95" t="s">
        <v>98</v>
      </c>
      <c r="AV105" s="95" t="s">
        <v>98</v>
      </c>
      <c r="AW105" s="95" t="s">
        <v>98</v>
      </c>
      <c r="AX105" s="93" t="s">
        <v>472</v>
      </c>
      <c r="AY105" s="93" t="str">
        <f t="shared" si="46"/>
        <v>#REF!</v>
      </c>
      <c r="AZ105" s="95">
        <f t="shared" si="48"/>
        <v>46171</v>
      </c>
      <c r="BA105" s="95"/>
    </row>
    <row r="106" ht="30.75" customHeight="1">
      <c r="A106" s="93"/>
      <c r="B106" s="94" t="s">
        <v>82</v>
      </c>
      <c r="C106" s="110" t="s">
        <v>83</v>
      </c>
      <c r="D106" s="93">
        <v>7.0</v>
      </c>
      <c r="E106" s="111" t="s">
        <v>108</v>
      </c>
      <c r="F106" s="93" t="s">
        <v>496</v>
      </c>
      <c r="G106" s="93" t="s">
        <v>86</v>
      </c>
      <c r="H106" s="93"/>
      <c r="I106" s="93" t="s">
        <v>88</v>
      </c>
      <c r="J106" s="93" t="s">
        <v>468</v>
      </c>
      <c r="K106" s="93" t="s">
        <v>474</v>
      </c>
      <c r="L106" s="93" t="s">
        <v>490</v>
      </c>
      <c r="M106" s="93" t="s">
        <v>207</v>
      </c>
      <c r="N106" s="93" t="s">
        <v>493</v>
      </c>
      <c r="O106" s="93" t="s">
        <v>94</v>
      </c>
      <c r="P106" s="111">
        <v>12.0</v>
      </c>
      <c r="Q106" s="111" t="s">
        <v>98</v>
      </c>
      <c r="R106" s="93" t="s">
        <v>98</v>
      </c>
      <c r="S106" s="93" t="s">
        <v>98</v>
      </c>
      <c r="T106" s="93" t="s">
        <v>98</v>
      </c>
      <c r="U106" s="93" t="s">
        <v>98</v>
      </c>
      <c r="V106" s="93" t="s">
        <v>98</v>
      </c>
      <c r="W106" s="93" t="s">
        <v>98</v>
      </c>
      <c r="X106" s="93" t="s">
        <v>98</v>
      </c>
      <c r="Y106" s="93" t="s">
        <v>98</v>
      </c>
      <c r="Z106" s="93" t="s">
        <v>98</v>
      </c>
      <c r="AA106" s="93" t="s">
        <v>98</v>
      </c>
      <c r="AB106" s="93" t="s">
        <v>98</v>
      </c>
      <c r="AC106" s="93" t="s">
        <v>98</v>
      </c>
      <c r="AD106" s="93" t="s">
        <v>98</v>
      </c>
      <c r="AE106" s="93" t="s">
        <v>98</v>
      </c>
      <c r="AF106" s="93" t="s">
        <v>98</v>
      </c>
      <c r="AG106" s="93" t="s">
        <v>98</v>
      </c>
      <c r="AH106" s="93" t="s">
        <v>98</v>
      </c>
      <c r="AI106" s="93" t="s">
        <v>98</v>
      </c>
      <c r="AJ106" s="93" t="s">
        <v>98</v>
      </c>
      <c r="AK106" s="93" t="s">
        <v>98</v>
      </c>
      <c r="AL106" s="93" t="s">
        <v>98</v>
      </c>
      <c r="AM106" s="93" t="s">
        <v>98</v>
      </c>
      <c r="AN106" s="93" t="s">
        <v>98</v>
      </c>
      <c r="AO106" s="93" t="s">
        <v>98</v>
      </c>
      <c r="AP106" s="93" t="str">
        <f t="shared" si="43"/>
        <v>#REF!</v>
      </c>
      <c r="AQ106" s="95" t="s">
        <v>98</v>
      </c>
      <c r="AR106" s="95" t="s">
        <v>98</v>
      </c>
      <c r="AS106" s="95" t="str">
        <f t="shared" si="47"/>
        <v>#VALUE!</v>
      </c>
      <c r="AT106" s="95" t="s">
        <v>98</v>
      </c>
      <c r="AU106" s="95" t="s">
        <v>98</v>
      </c>
      <c r="AV106" s="95" t="s">
        <v>98</v>
      </c>
      <c r="AW106" s="95" t="s">
        <v>98</v>
      </c>
      <c r="AX106" s="93" t="s">
        <v>472</v>
      </c>
      <c r="AY106" s="93" t="str">
        <f t="shared" si="46"/>
        <v>#REF!</v>
      </c>
      <c r="AZ106" s="95">
        <f t="shared" si="48"/>
        <v>46171</v>
      </c>
      <c r="BA106" s="95"/>
    </row>
    <row r="107" ht="30.75" customHeight="1">
      <c r="A107" s="93" t="s">
        <v>81</v>
      </c>
      <c r="B107" s="94" t="s">
        <v>82</v>
      </c>
      <c r="C107" s="94" t="s">
        <v>83</v>
      </c>
      <c r="D107" s="93">
        <v>1.0</v>
      </c>
      <c r="E107" s="93" t="s">
        <v>497</v>
      </c>
      <c r="F107" s="93" t="s">
        <v>98</v>
      </c>
      <c r="G107" s="93" t="s">
        <v>86</v>
      </c>
      <c r="H107" s="113" t="s">
        <v>498</v>
      </c>
      <c r="I107" s="93" t="s">
        <v>88</v>
      </c>
      <c r="J107" s="93" t="s">
        <v>499</v>
      </c>
      <c r="K107" s="93" t="s">
        <v>474</v>
      </c>
      <c r="L107" s="93" t="s">
        <v>490</v>
      </c>
      <c r="M107" s="93" t="s">
        <v>98</v>
      </c>
      <c r="N107" s="93" t="s">
        <v>98</v>
      </c>
      <c r="O107" s="93" t="s">
        <v>94</v>
      </c>
      <c r="P107" s="93">
        <v>12.0</v>
      </c>
      <c r="Q107" s="93">
        <v>1.0</v>
      </c>
      <c r="R107" s="93"/>
      <c r="S107" s="93"/>
      <c r="T107" s="93"/>
      <c r="U107" s="93"/>
      <c r="V107" s="93">
        <v>1.0</v>
      </c>
      <c r="W107" s="93">
        <v>1.0</v>
      </c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 t="str">
        <f t="shared" si="43"/>
        <v>#REF!</v>
      </c>
      <c r="AQ107" s="95">
        <v>45012.0</v>
      </c>
      <c r="AR107" s="95">
        <v>45012.0</v>
      </c>
      <c r="AS107" s="95">
        <f t="shared" si="47"/>
        <v>45378</v>
      </c>
      <c r="AT107" s="93" t="s">
        <v>500</v>
      </c>
      <c r="AU107" s="93" t="s">
        <v>476</v>
      </c>
      <c r="AV107" s="93" t="s">
        <v>477</v>
      </c>
      <c r="AW107" s="93" t="s">
        <v>478</v>
      </c>
      <c r="AX107" s="95" t="s">
        <v>99</v>
      </c>
      <c r="AY107" s="93" t="str">
        <f t="shared" si="46"/>
        <v>#REF!</v>
      </c>
      <c r="AZ107" s="95">
        <f t="shared" si="48"/>
        <v>46171</v>
      </c>
      <c r="BA107" s="95"/>
    </row>
    <row r="108" ht="30.75" customHeight="1">
      <c r="A108" s="93"/>
      <c r="B108" s="94" t="s">
        <v>82</v>
      </c>
      <c r="C108" s="94" t="s">
        <v>83</v>
      </c>
      <c r="D108" s="93">
        <v>2.0</v>
      </c>
      <c r="E108" s="93" t="s">
        <v>497</v>
      </c>
      <c r="F108" s="93" t="s">
        <v>98</v>
      </c>
      <c r="G108" s="93" t="s">
        <v>86</v>
      </c>
      <c r="H108" s="113" t="s">
        <v>498</v>
      </c>
      <c r="I108" s="93" t="s">
        <v>88</v>
      </c>
      <c r="J108" s="93" t="s">
        <v>499</v>
      </c>
      <c r="K108" s="93" t="s">
        <v>474</v>
      </c>
      <c r="L108" s="93" t="s">
        <v>490</v>
      </c>
      <c r="M108" s="93" t="s">
        <v>98</v>
      </c>
      <c r="N108" s="93" t="s">
        <v>98</v>
      </c>
      <c r="O108" s="93" t="s">
        <v>94</v>
      </c>
      <c r="P108" s="93">
        <v>12.0</v>
      </c>
      <c r="Q108" s="93">
        <v>1.0</v>
      </c>
      <c r="R108" s="93"/>
      <c r="S108" s="93"/>
      <c r="T108" s="93"/>
      <c r="U108" s="93"/>
      <c r="V108" s="93">
        <v>1.0</v>
      </c>
      <c r="W108" s="93">
        <v>1.0</v>
      </c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 t="str">
        <f t="shared" si="43"/>
        <v>#REF!</v>
      </c>
      <c r="AQ108" s="95">
        <v>45012.0</v>
      </c>
      <c r="AR108" s="95">
        <v>45012.0</v>
      </c>
      <c r="AS108" s="95">
        <f t="shared" si="47"/>
        <v>45378</v>
      </c>
      <c r="AT108" s="93" t="s">
        <v>500</v>
      </c>
      <c r="AU108" s="93" t="s">
        <v>476</v>
      </c>
      <c r="AV108" s="93" t="s">
        <v>477</v>
      </c>
      <c r="AW108" s="93" t="s">
        <v>478</v>
      </c>
      <c r="AX108" s="95" t="s">
        <v>99</v>
      </c>
      <c r="AY108" s="93" t="str">
        <f t="shared" si="46"/>
        <v>#REF!</v>
      </c>
      <c r="AZ108" s="95">
        <f t="shared" si="48"/>
        <v>46171</v>
      </c>
      <c r="BA108" s="95"/>
    </row>
    <row r="109" ht="30.75" customHeight="1">
      <c r="A109" s="93"/>
      <c r="B109" s="94" t="s">
        <v>82</v>
      </c>
      <c r="C109" s="94" t="s">
        <v>83</v>
      </c>
      <c r="D109" s="93">
        <v>3.0</v>
      </c>
      <c r="E109" s="93" t="s">
        <v>497</v>
      </c>
      <c r="F109" s="93" t="s">
        <v>98</v>
      </c>
      <c r="G109" s="93" t="s">
        <v>86</v>
      </c>
      <c r="H109" s="113" t="s">
        <v>501</v>
      </c>
      <c r="I109" s="93" t="s">
        <v>88</v>
      </c>
      <c r="J109" s="93" t="s">
        <v>499</v>
      </c>
      <c r="K109" s="93" t="s">
        <v>474</v>
      </c>
      <c r="L109" s="93" t="s">
        <v>490</v>
      </c>
      <c r="M109" s="93" t="s">
        <v>98</v>
      </c>
      <c r="N109" s="93" t="s">
        <v>98</v>
      </c>
      <c r="O109" s="93" t="s">
        <v>94</v>
      </c>
      <c r="P109" s="93">
        <v>12.0</v>
      </c>
      <c r="Q109" s="93">
        <v>1.0</v>
      </c>
      <c r="R109" s="93"/>
      <c r="S109" s="93"/>
      <c r="T109" s="93"/>
      <c r="U109" s="93"/>
      <c r="V109" s="93">
        <v>1.0</v>
      </c>
      <c r="W109" s="93">
        <v>1.0</v>
      </c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 t="str">
        <f t="shared" si="43"/>
        <v>#REF!</v>
      </c>
      <c r="AQ109" s="95">
        <v>45012.0</v>
      </c>
      <c r="AR109" s="95">
        <v>45012.0</v>
      </c>
      <c r="AS109" s="95">
        <f t="shared" si="47"/>
        <v>45378</v>
      </c>
      <c r="AT109" s="93" t="s">
        <v>502</v>
      </c>
      <c r="AU109" s="93" t="s">
        <v>503</v>
      </c>
      <c r="AV109" s="93" t="s">
        <v>477</v>
      </c>
      <c r="AW109" s="93" t="s">
        <v>504</v>
      </c>
      <c r="AX109" s="95" t="s">
        <v>99</v>
      </c>
      <c r="AY109" s="93" t="str">
        <f t="shared" si="46"/>
        <v>#REF!</v>
      </c>
      <c r="AZ109" s="95">
        <f t="shared" si="48"/>
        <v>46171</v>
      </c>
      <c r="BA109" s="95"/>
    </row>
    <row r="110" ht="30.75" customHeight="1">
      <c r="A110" s="93"/>
      <c r="B110" s="94" t="s">
        <v>82</v>
      </c>
      <c r="C110" s="94" t="s">
        <v>83</v>
      </c>
      <c r="D110" s="93">
        <v>4.0</v>
      </c>
      <c r="E110" s="93" t="s">
        <v>497</v>
      </c>
      <c r="F110" s="93" t="s">
        <v>98</v>
      </c>
      <c r="G110" s="93" t="s">
        <v>86</v>
      </c>
      <c r="H110" s="113" t="s">
        <v>501</v>
      </c>
      <c r="I110" s="93" t="s">
        <v>88</v>
      </c>
      <c r="J110" s="93" t="s">
        <v>499</v>
      </c>
      <c r="K110" s="93" t="s">
        <v>474</v>
      </c>
      <c r="L110" s="93" t="s">
        <v>490</v>
      </c>
      <c r="M110" s="93" t="s">
        <v>98</v>
      </c>
      <c r="N110" s="93" t="s">
        <v>98</v>
      </c>
      <c r="O110" s="93" t="s">
        <v>94</v>
      </c>
      <c r="P110" s="93">
        <v>12.0</v>
      </c>
      <c r="Q110" s="93">
        <v>1.0</v>
      </c>
      <c r="R110" s="93"/>
      <c r="S110" s="93"/>
      <c r="T110" s="93"/>
      <c r="U110" s="93"/>
      <c r="V110" s="93">
        <v>1.0</v>
      </c>
      <c r="W110" s="93">
        <v>1.0</v>
      </c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 t="str">
        <f t="shared" si="43"/>
        <v>#REF!</v>
      </c>
      <c r="AQ110" s="95">
        <v>45012.0</v>
      </c>
      <c r="AR110" s="95">
        <v>45012.0</v>
      </c>
      <c r="AS110" s="95">
        <f t="shared" si="47"/>
        <v>45378</v>
      </c>
      <c r="AT110" s="93" t="s">
        <v>502</v>
      </c>
      <c r="AU110" s="93" t="s">
        <v>503</v>
      </c>
      <c r="AV110" s="93" t="s">
        <v>477</v>
      </c>
      <c r="AW110" s="93" t="s">
        <v>504</v>
      </c>
      <c r="AX110" s="95" t="s">
        <v>99</v>
      </c>
      <c r="AY110" s="93" t="str">
        <f t="shared" si="46"/>
        <v>#REF!</v>
      </c>
      <c r="AZ110" s="95">
        <f t="shared" si="48"/>
        <v>46171</v>
      </c>
      <c r="BA110" s="95"/>
    </row>
    <row r="111" ht="30.75" customHeight="1">
      <c r="A111" s="93"/>
      <c r="B111" s="94" t="s">
        <v>82</v>
      </c>
      <c r="C111" s="110" t="s">
        <v>83</v>
      </c>
      <c r="D111" s="93">
        <v>8.0</v>
      </c>
      <c r="E111" s="111" t="s">
        <v>108</v>
      </c>
      <c r="F111" s="93" t="s">
        <v>98</v>
      </c>
      <c r="G111" s="93" t="s">
        <v>86</v>
      </c>
      <c r="H111" s="113" t="s">
        <v>505</v>
      </c>
      <c r="I111" s="93" t="s">
        <v>88</v>
      </c>
      <c r="J111" s="93" t="s">
        <v>499</v>
      </c>
      <c r="K111" s="93" t="s">
        <v>474</v>
      </c>
      <c r="L111" s="93" t="s">
        <v>490</v>
      </c>
      <c r="M111" s="93" t="s">
        <v>207</v>
      </c>
      <c r="N111" s="93" t="s">
        <v>493</v>
      </c>
      <c r="O111" s="93" t="s">
        <v>94</v>
      </c>
      <c r="P111" s="111">
        <v>12.0</v>
      </c>
      <c r="Q111" s="111">
        <v>1.0</v>
      </c>
      <c r="R111" s="93"/>
      <c r="S111" s="93"/>
      <c r="T111" s="93"/>
      <c r="U111" s="93"/>
      <c r="V111" s="93">
        <v>1.0</v>
      </c>
      <c r="W111" s="93">
        <v>1.0</v>
      </c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 t="str">
        <f t="shared" si="43"/>
        <v>#REF!</v>
      </c>
      <c r="AQ111" s="95">
        <v>45012.0</v>
      </c>
      <c r="AR111" s="95">
        <v>45012.0</v>
      </c>
      <c r="AS111" s="95">
        <f t="shared" si="47"/>
        <v>45378</v>
      </c>
      <c r="AT111" s="93" t="s">
        <v>506</v>
      </c>
      <c r="AU111" s="93" t="s">
        <v>507</v>
      </c>
      <c r="AV111" s="93" t="s">
        <v>508</v>
      </c>
      <c r="AW111" s="93" t="s">
        <v>509</v>
      </c>
      <c r="AX111" s="95" t="s">
        <v>99</v>
      </c>
      <c r="AY111" s="93" t="str">
        <f t="shared" si="46"/>
        <v>#REF!</v>
      </c>
      <c r="AZ111" s="95">
        <f t="shared" si="48"/>
        <v>46171</v>
      </c>
      <c r="BA111" s="95"/>
    </row>
    <row r="112" ht="30.75" customHeight="1">
      <c r="A112" s="93"/>
      <c r="B112" s="94" t="s">
        <v>82</v>
      </c>
      <c r="C112" s="110" t="s">
        <v>83</v>
      </c>
      <c r="D112" s="93">
        <v>9.0</v>
      </c>
      <c r="E112" s="111" t="s">
        <v>108</v>
      </c>
      <c r="F112" s="93" t="s">
        <v>98</v>
      </c>
      <c r="G112" s="93" t="s">
        <v>86</v>
      </c>
      <c r="H112" s="113" t="s">
        <v>501</v>
      </c>
      <c r="I112" s="93" t="s">
        <v>88</v>
      </c>
      <c r="J112" s="93" t="s">
        <v>499</v>
      </c>
      <c r="K112" s="93" t="s">
        <v>474</v>
      </c>
      <c r="L112" s="93" t="s">
        <v>490</v>
      </c>
      <c r="M112" s="93" t="s">
        <v>207</v>
      </c>
      <c r="N112" s="93" t="s">
        <v>493</v>
      </c>
      <c r="O112" s="93" t="s">
        <v>94</v>
      </c>
      <c r="P112" s="111">
        <v>12.0</v>
      </c>
      <c r="Q112" s="111">
        <v>1.0</v>
      </c>
      <c r="R112" s="93"/>
      <c r="S112" s="93"/>
      <c r="T112" s="93"/>
      <c r="U112" s="93"/>
      <c r="V112" s="93">
        <v>1.0</v>
      </c>
      <c r="W112" s="93">
        <v>1.0</v>
      </c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 t="str">
        <f t="shared" si="43"/>
        <v>#REF!</v>
      </c>
      <c r="AQ112" s="95">
        <v>45012.0</v>
      </c>
      <c r="AR112" s="95">
        <v>45012.0</v>
      </c>
      <c r="AS112" s="95">
        <f t="shared" si="47"/>
        <v>45378</v>
      </c>
      <c r="AT112" s="93" t="s">
        <v>510</v>
      </c>
      <c r="AU112" s="93"/>
      <c r="AV112" s="93"/>
      <c r="AW112" s="93"/>
      <c r="AX112" s="95" t="s">
        <v>99</v>
      </c>
      <c r="AY112" s="93" t="str">
        <f t="shared" si="46"/>
        <v>#REF!</v>
      </c>
      <c r="AZ112" s="95">
        <f t="shared" si="48"/>
        <v>46171</v>
      </c>
      <c r="BA112" s="95"/>
    </row>
    <row r="113" ht="30.75" customHeight="1">
      <c r="A113" s="93"/>
      <c r="B113" s="94" t="s">
        <v>82</v>
      </c>
      <c r="C113" s="110" t="s">
        <v>83</v>
      </c>
      <c r="D113" s="93">
        <v>10.0</v>
      </c>
      <c r="E113" s="111" t="s">
        <v>108</v>
      </c>
      <c r="F113" s="93" t="s">
        <v>207</v>
      </c>
      <c r="G113" s="93" t="s">
        <v>86</v>
      </c>
      <c r="H113" s="113" t="s">
        <v>511</v>
      </c>
      <c r="I113" s="93" t="s">
        <v>88</v>
      </c>
      <c r="J113" s="93" t="s">
        <v>512</v>
      </c>
      <c r="K113" s="93" t="s">
        <v>474</v>
      </c>
      <c r="L113" s="93" t="s">
        <v>490</v>
      </c>
      <c r="M113" s="93" t="s">
        <v>207</v>
      </c>
      <c r="N113" s="93" t="s">
        <v>493</v>
      </c>
      <c r="O113" s="93" t="s">
        <v>94</v>
      </c>
      <c r="P113" s="111">
        <v>12.0</v>
      </c>
      <c r="Q113" s="111">
        <v>1.0</v>
      </c>
      <c r="R113" s="93"/>
      <c r="S113" s="12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>
        <v>1.0</v>
      </c>
      <c r="AE113" s="93">
        <v>1.0</v>
      </c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 t="str">
        <f t="shared" si="43"/>
        <v>#REF!</v>
      </c>
      <c r="AQ113" s="95" t="s">
        <v>98</v>
      </c>
      <c r="AR113" s="95" t="s">
        <v>98</v>
      </c>
      <c r="AS113" s="95" t="str">
        <f t="shared" si="47"/>
        <v>#VALUE!</v>
      </c>
      <c r="AT113" s="95" t="s">
        <v>513</v>
      </c>
      <c r="AU113" s="95" t="s">
        <v>98</v>
      </c>
      <c r="AV113" s="95" t="s">
        <v>98</v>
      </c>
      <c r="AW113" s="95" t="s">
        <v>98</v>
      </c>
      <c r="AX113" s="95" t="s">
        <v>99</v>
      </c>
      <c r="AY113" s="93" t="str">
        <f t="shared" si="46"/>
        <v>#REF!</v>
      </c>
      <c r="AZ113" s="95">
        <f t="shared" si="48"/>
        <v>46171</v>
      </c>
      <c r="BA113" s="95"/>
    </row>
    <row r="114" ht="30.75" customHeight="1">
      <c r="A114" s="93"/>
      <c r="B114" s="94" t="s">
        <v>82</v>
      </c>
      <c r="C114" s="110" t="s">
        <v>83</v>
      </c>
      <c r="D114" s="93">
        <v>11.0</v>
      </c>
      <c r="E114" s="111" t="s">
        <v>108</v>
      </c>
      <c r="F114" s="93" t="s">
        <v>98</v>
      </c>
      <c r="G114" s="93" t="s">
        <v>86</v>
      </c>
      <c r="H114" s="113" t="s">
        <v>514</v>
      </c>
      <c r="I114" s="93" t="s">
        <v>88</v>
      </c>
      <c r="J114" s="93" t="s">
        <v>512</v>
      </c>
      <c r="K114" s="93" t="s">
        <v>474</v>
      </c>
      <c r="L114" s="93" t="s">
        <v>490</v>
      </c>
      <c r="M114" s="93" t="s">
        <v>207</v>
      </c>
      <c r="N114" s="93" t="s">
        <v>493</v>
      </c>
      <c r="O114" s="93" t="s">
        <v>94</v>
      </c>
      <c r="P114" s="111" t="s">
        <v>98</v>
      </c>
      <c r="Q114" s="111" t="s">
        <v>98</v>
      </c>
      <c r="R114" s="93"/>
      <c r="S114" s="12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 t="str">
        <f t="shared" si="43"/>
        <v>#REF!</v>
      </c>
      <c r="AQ114" s="95" t="s">
        <v>98</v>
      </c>
      <c r="AR114" s="95" t="s">
        <v>98</v>
      </c>
      <c r="AS114" s="95" t="str">
        <f t="shared" si="47"/>
        <v>#VALUE!</v>
      </c>
      <c r="AT114" s="95" t="s">
        <v>98</v>
      </c>
      <c r="AU114" s="95" t="s">
        <v>98</v>
      </c>
      <c r="AV114" s="95" t="s">
        <v>98</v>
      </c>
      <c r="AW114" s="95" t="s">
        <v>98</v>
      </c>
      <c r="AX114" s="93" t="s">
        <v>472</v>
      </c>
      <c r="AY114" s="93" t="str">
        <f t="shared" si="46"/>
        <v>#REF!</v>
      </c>
      <c r="AZ114" s="95">
        <f t="shared" si="48"/>
        <v>46171</v>
      </c>
      <c r="BA114" s="95"/>
    </row>
    <row r="115" ht="30.75" customHeight="1">
      <c r="A115" s="93" t="s">
        <v>81</v>
      </c>
      <c r="B115" s="94" t="s">
        <v>82</v>
      </c>
      <c r="C115" s="94" t="s">
        <v>83</v>
      </c>
      <c r="D115" s="93">
        <v>2.0</v>
      </c>
      <c r="E115" s="93" t="s">
        <v>336</v>
      </c>
      <c r="F115" s="93" t="s">
        <v>515</v>
      </c>
      <c r="G115" s="93" t="s">
        <v>86</v>
      </c>
      <c r="H115" s="93" t="s">
        <v>516</v>
      </c>
      <c r="I115" s="93"/>
      <c r="J115" s="93" t="s">
        <v>517</v>
      </c>
      <c r="K115" s="93" t="s">
        <v>469</v>
      </c>
      <c r="L115" s="93" t="s">
        <v>470</v>
      </c>
      <c r="M115" s="111" t="s">
        <v>98</v>
      </c>
      <c r="N115" s="111" t="s">
        <v>518</v>
      </c>
      <c r="O115" s="93" t="s">
        <v>94</v>
      </c>
      <c r="P115" s="93">
        <v>12.0</v>
      </c>
      <c r="Q115" s="93">
        <v>1.0</v>
      </c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>
        <v>1.0</v>
      </c>
      <c r="AC115" s="93">
        <v>1.0</v>
      </c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124" t="s">
        <v>519</v>
      </c>
      <c r="AR115" s="124" t="s">
        <v>519</v>
      </c>
      <c r="AS115" s="125" t="s">
        <v>520</v>
      </c>
      <c r="AT115" s="102" t="s">
        <v>521</v>
      </c>
      <c r="AU115" s="102">
        <v>0.606</v>
      </c>
      <c r="AV115" s="111">
        <v>0.091</v>
      </c>
      <c r="AW115" s="111" t="s">
        <v>522</v>
      </c>
      <c r="AX115" s="95" t="s">
        <v>99</v>
      </c>
      <c r="AY115" s="93"/>
      <c r="AZ115" s="95">
        <f t="shared" si="48"/>
        <v>46171</v>
      </c>
      <c r="BA115" s="126" t="s">
        <v>423</v>
      </c>
    </row>
    <row r="116" ht="30.75" customHeight="1">
      <c r="A116" s="93" t="s">
        <v>81</v>
      </c>
      <c r="B116" s="94" t="s">
        <v>82</v>
      </c>
      <c r="C116" s="94" t="s">
        <v>83</v>
      </c>
      <c r="D116" s="93"/>
      <c r="E116" s="93" t="s">
        <v>336</v>
      </c>
      <c r="F116" s="93" t="s">
        <v>523</v>
      </c>
      <c r="G116" s="93" t="s">
        <v>86</v>
      </c>
      <c r="H116" s="93" t="s">
        <v>524</v>
      </c>
      <c r="I116" s="93"/>
      <c r="J116" s="93" t="s">
        <v>517</v>
      </c>
      <c r="K116" s="93" t="s">
        <v>469</v>
      </c>
      <c r="L116" s="93" t="s">
        <v>470</v>
      </c>
      <c r="M116" s="111" t="s">
        <v>98</v>
      </c>
      <c r="N116" s="111" t="s">
        <v>518</v>
      </c>
      <c r="O116" s="93" t="s">
        <v>94</v>
      </c>
      <c r="P116" s="93">
        <v>12.0</v>
      </c>
      <c r="Q116" s="93">
        <v>1.0</v>
      </c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>
        <v>1.0</v>
      </c>
      <c r="AC116" s="93">
        <v>1.0</v>
      </c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124" t="s">
        <v>519</v>
      </c>
      <c r="AR116" s="124" t="s">
        <v>519</v>
      </c>
      <c r="AS116" s="125" t="s">
        <v>520</v>
      </c>
      <c r="AT116" s="102" t="s">
        <v>525</v>
      </c>
      <c r="AU116" s="102">
        <v>0.207</v>
      </c>
      <c r="AV116" s="111">
        <v>0.207</v>
      </c>
      <c r="AW116" s="111" t="s">
        <v>526</v>
      </c>
      <c r="AX116" s="95" t="s">
        <v>99</v>
      </c>
      <c r="AY116" s="93"/>
      <c r="AZ116" s="95">
        <f t="shared" si="48"/>
        <v>46171</v>
      </c>
      <c r="BA116" s="126"/>
    </row>
    <row r="117" ht="30.75" customHeight="1">
      <c r="A117" s="93"/>
      <c r="B117" s="94" t="s">
        <v>82</v>
      </c>
      <c r="C117" s="94" t="s">
        <v>83</v>
      </c>
      <c r="D117" s="93"/>
      <c r="E117" s="93" t="s">
        <v>84</v>
      </c>
      <c r="F117" s="93"/>
      <c r="G117" s="93" t="s">
        <v>86</v>
      </c>
      <c r="H117" s="93" t="s">
        <v>527</v>
      </c>
      <c r="I117" s="93"/>
      <c r="J117" s="93" t="s">
        <v>517</v>
      </c>
      <c r="K117" s="93" t="s">
        <v>469</v>
      </c>
      <c r="L117" s="93" t="s">
        <v>490</v>
      </c>
      <c r="M117" s="93" t="s">
        <v>98</v>
      </c>
      <c r="N117" s="93"/>
      <c r="O117" s="93"/>
      <c r="P117" s="93">
        <v>12.0</v>
      </c>
      <c r="Q117" s="93">
        <v>1.0</v>
      </c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>
        <v>1.0</v>
      </c>
      <c r="AC117" s="93">
        <v>1.0</v>
      </c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5" t="s">
        <v>95</v>
      </c>
      <c r="AR117" s="95" t="s">
        <v>95</v>
      </c>
      <c r="AS117" s="95" t="str">
        <f t="shared" ref="AS117:AS125" si="49">DATE(YEAR(AQ117),MONTH(AQ117)+P117,DAY(AQ117))</f>
        <v>#VALUE!</v>
      </c>
      <c r="AT117" s="93" t="s">
        <v>528</v>
      </c>
      <c r="AU117" s="95"/>
      <c r="AV117" s="95"/>
      <c r="AW117" s="95"/>
      <c r="AX117" s="93"/>
      <c r="AY117" s="93"/>
      <c r="AZ117" s="95">
        <f t="shared" si="48"/>
        <v>46171</v>
      </c>
      <c r="BA117" s="95"/>
    </row>
    <row r="118" ht="30.75" customHeight="1">
      <c r="A118" s="93"/>
      <c r="B118" s="94" t="s">
        <v>82</v>
      </c>
      <c r="C118" s="94" t="s">
        <v>83</v>
      </c>
      <c r="D118" s="93"/>
      <c r="E118" s="93" t="s">
        <v>84</v>
      </c>
      <c r="F118" s="93"/>
      <c r="G118" s="93" t="s">
        <v>86</v>
      </c>
      <c r="H118" s="93" t="s">
        <v>529</v>
      </c>
      <c r="I118" s="93"/>
      <c r="J118" s="93" t="s">
        <v>517</v>
      </c>
      <c r="K118" s="93" t="s">
        <v>469</v>
      </c>
      <c r="L118" s="93" t="s">
        <v>490</v>
      </c>
      <c r="M118" s="93" t="s">
        <v>98</v>
      </c>
      <c r="N118" s="93"/>
      <c r="O118" s="93"/>
      <c r="P118" s="93">
        <v>12.0</v>
      </c>
      <c r="Q118" s="93">
        <v>1.0</v>
      </c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>
        <v>1.0</v>
      </c>
      <c r="AC118" s="93">
        <v>1.0</v>
      </c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5" t="s">
        <v>95</v>
      </c>
      <c r="AR118" s="95" t="s">
        <v>95</v>
      </c>
      <c r="AS118" s="95" t="str">
        <f t="shared" si="49"/>
        <v>#VALUE!</v>
      </c>
      <c r="AT118" s="93" t="s">
        <v>530</v>
      </c>
      <c r="AU118" s="95"/>
      <c r="AV118" s="95"/>
      <c r="AW118" s="95"/>
      <c r="AX118" s="93"/>
      <c r="AY118" s="93"/>
      <c r="AZ118" s="95">
        <f t="shared" si="48"/>
        <v>46171</v>
      </c>
      <c r="BA118" s="95"/>
    </row>
    <row r="119" ht="30.75" customHeight="1">
      <c r="A119" s="93"/>
      <c r="B119" s="94" t="s">
        <v>82</v>
      </c>
      <c r="C119" s="94" t="s">
        <v>83</v>
      </c>
      <c r="D119" s="93"/>
      <c r="E119" s="93" t="s">
        <v>84</v>
      </c>
      <c r="F119" s="93" t="s">
        <v>531</v>
      </c>
      <c r="G119" s="93" t="s">
        <v>86</v>
      </c>
      <c r="H119" s="93" t="s">
        <v>532</v>
      </c>
      <c r="I119" s="93"/>
      <c r="J119" s="93" t="s">
        <v>517</v>
      </c>
      <c r="K119" s="93" t="s">
        <v>469</v>
      </c>
      <c r="L119" s="93" t="s">
        <v>470</v>
      </c>
      <c r="M119" s="93" t="s">
        <v>98</v>
      </c>
      <c r="N119" s="93"/>
      <c r="O119" s="93"/>
      <c r="P119" s="93">
        <v>12.0</v>
      </c>
      <c r="Q119" s="93">
        <v>1.0</v>
      </c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>
        <v>1.0</v>
      </c>
      <c r="AC119" s="93">
        <v>1.0</v>
      </c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5" t="s">
        <v>95</v>
      </c>
      <c r="AR119" s="95" t="s">
        <v>95</v>
      </c>
      <c r="AS119" s="95" t="str">
        <f t="shared" si="49"/>
        <v>#VALUE!</v>
      </c>
      <c r="AT119" s="93" t="s">
        <v>533</v>
      </c>
      <c r="AU119" s="95"/>
      <c r="AV119" s="95"/>
      <c r="AW119" s="95"/>
      <c r="AX119" s="93"/>
      <c r="AY119" s="93"/>
      <c r="AZ119" s="95">
        <f t="shared" si="48"/>
        <v>46171</v>
      </c>
      <c r="BA119" s="95"/>
    </row>
    <row r="120" ht="30.75" customHeight="1">
      <c r="A120" s="93"/>
      <c r="B120" s="94" t="s">
        <v>82</v>
      </c>
      <c r="C120" s="94" t="s">
        <v>83</v>
      </c>
      <c r="D120" s="93"/>
      <c r="E120" s="93" t="s">
        <v>84</v>
      </c>
      <c r="F120" s="93" t="s">
        <v>534</v>
      </c>
      <c r="G120" s="93" t="s">
        <v>86</v>
      </c>
      <c r="H120" s="93"/>
      <c r="I120" s="93"/>
      <c r="J120" s="93" t="s">
        <v>517</v>
      </c>
      <c r="K120" s="93" t="s">
        <v>469</v>
      </c>
      <c r="L120" s="93" t="s">
        <v>470</v>
      </c>
      <c r="M120" s="93" t="s">
        <v>98</v>
      </c>
      <c r="N120" s="93"/>
      <c r="O120" s="93"/>
      <c r="P120" s="93">
        <v>12.0</v>
      </c>
      <c r="Q120" s="93">
        <v>1.0</v>
      </c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>
        <v>1.0</v>
      </c>
      <c r="AC120" s="93">
        <v>1.0</v>
      </c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5" t="s">
        <v>95</v>
      </c>
      <c r="AR120" s="95" t="s">
        <v>95</v>
      </c>
      <c r="AS120" s="95" t="str">
        <f t="shared" si="49"/>
        <v>#VALUE!</v>
      </c>
      <c r="AT120" s="93" t="s">
        <v>535</v>
      </c>
      <c r="AU120" s="95"/>
      <c r="AV120" s="95"/>
      <c r="AW120" s="95"/>
      <c r="AX120" s="93"/>
      <c r="AY120" s="93"/>
      <c r="AZ120" s="95">
        <f t="shared" si="48"/>
        <v>46171</v>
      </c>
      <c r="BA120" s="95"/>
    </row>
    <row r="121" ht="30.75" customHeight="1">
      <c r="A121" s="93"/>
      <c r="B121" s="94" t="s">
        <v>82</v>
      </c>
      <c r="C121" s="94" t="s">
        <v>83</v>
      </c>
      <c r="D121" s="93"/>
      <c r="E121" s="93" t="s">
        <v>84</v>
      </c>
      <c r="F121" s="93" t="s">
        <v>496</v>
      </c>
      <c r="G121" s="93" t="s">
        <v>86</v>
      </c>
      <c r="H121" s="93"/>
      <c r="I121" s="93"/>
      <c r="J121" s="93" t="s">
        <v>517</v>
      </c>
      <c r="K121" s="93" t="s">
        <v>469</v>
      </c>
      <c r="L121" s="93" t="s">
        <v>536</v>
      </c>
      <c r="M121" s="93" t="s">
        <v>98</v>
      </c>
      <c r="N121" s="93"/>
      <c r="O121" s="93"/>
      <c r="P121" s="93">
        <v>12.0</v>
      </c>
      <c r="Q121" s="93">
        <v>1.0</v>
      </c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>
        <v>1.0</v>
      </c>
      <c r="AC121" s="93">
        <v>1.0</v>
      </c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5" t="s">
        <v>95</v>
      </c>
      <c r="AR121" s="95" t="s">
        <v>95</v>
      </c>
      <c r="AS121" s="95" t="str">
        <f t="shared" si="49"/>
        <v>#VALUE!</v>
      </c>
      <c r="AT121" s="93" t="s">
        <v>537</v>
      </c>
      <c r="AU121" s="95"/>
      <c r="AV121" s="95"/>
      <c r="AW121" s="95"/>
      <c r="AX121" s="93"/>
      <c r="AY121" s="93"/>
      <c r="AZ121" s="95">
        <f t="shared" si="48"/>
        <v>46171</v>
      </c>
      <c r="BA121" s="95"/>
    </row>
    <row r="122" ht="30.75" customHeight="1">
      <c r="A122" s="93"/>
      <c r="B122" s="94" t="s">
        <v>82</v>
      </c>
      <c r="C122" s="94" t="s">
        <v>83</v>
      </c>
      <c r="D122" s="93"/>
      <c r="E122" s="93" t="s">
        <v>84</v>
      </c>
      <c r="F122" s="93" t="s">
        <v>538</v>
      </c>
      <c r="G122" s="93" t="s">
        <v>86</v>
      </c>
      <c r="H122" s="93"/>
      <c r="I122" s="93"/>
      <c r="J122" s="93" t="s">
        <v>517</v>
      </c>
      <c r="K122" s="93" t="s">
        <v>469</v>
      </c>
      <c r="L122" s="93" t="s">
        <v>470</v>
      </c>
      <c r="M122" s="93" t="s">
        <v>98</v>
      </c>
      <c r="N122" s="93"/>
      <c r="O122" s="93"/>
      <c r="P122" s="93">
        <v>12.0</v>
      </c>
      <c r="Q122" s="93">
        <v>1.0</v>
      </c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>
        <v>1.0</v>
      </c>
      <c r="AC122" s="93">
        <v>1.0</v>
      </c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5" t="s">
        <v>95</v>
      </c>
      <c r="AR122" s="95" t="s">
        <v>95</v>
      </c>
      <c r="AS122" s="95" t="str">
        <f t="shared" si="49"/>
        <v>#VALUE!</v>
      </c>
      <c r="AT122" s="93" t="s">
        <v>539</v>
      </c>
      <c r="AU122" s="95"/>
      <c r="AV122" s="95"/>
      <c r="AW122" s="95"/>
      <c r="AX122" s="93"/>
      <c r="AY122" s="93"/>
      <c r="AZ122" s="95">
        <f t="shared" si="48"/>
        <v>46171</v>
      </c>
      <c r="BA122" s="95"/>
    </row>
    <row r="123" ht="30.75" customHeight="1">
      <c r="A123" s="93"/>
      <c r="B123" s="94" t="s">
        <v>82</v>
      </c>
      <c r="C123" s="94" t="s">
        <v>83</v>
      </c>
      <c r="D123" s="93"/>
      <c r="E123" s="93" t="s">
        <v>84</v>
      </c>
      <c r="F123" s="93" t="s">
        <v>540</v>
      </c>
      <c r="G123" s="93" t="s">
        <v>86</v>
      </c>
      <c r="H123" s="93"/>
      <c r="I123" s="93"/>
      <c r="J123" s="93" t="s">
        <v>517</v>
      </c>
      <c r="K123" s="93" t="s">
        <v>469</v>
      </c>
      <c r="L123" s="93" t="s">
        <v>470</v>
      </c>
      <c r="M123" s="93" t="s">
        <v>98</v>
      </c>
      <c r="N123" s="93"/>
      <c r="O123" s="93"/>
      <c r="P123" s="93">
        <v>12.0</v>
      </c>
      <c r="Q123" s="93">
        <v>1.0</v>
      </c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>
        <v>1.0</v>
      </c>
      <c r="AC123" s="93">
        <v>1.0</v>
      </c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5" t="s">
        <v>95</v>
      </c>
      <c r="AR123" s="95" t="s">
        <v>95</v>
      </c>
      <c r="AS123" s="95" t="str">
        <f t="shared" si="49"/>
        <v>#VALUE!</v>
      </c>
      <c r="AT123" s="93" t="s">
        <v>541</v>
      </c>
      <c r="AU123" s="95"/>
      <c r="AV123" s="95"/>
      <c r="AW123" s="95"/>
      <c r="AX123" s="93"/>
      <c r="AY123" s="93"/>
      <c r="AZ123" s="95">
        <f t="shared" si="48"/>
        <v>46171</v>
      </c>
      <c r="BA123" s="95"/>
    </row>
    <row r="124" ht="30.75" customHeight="1">
      <c r="A124" s="93"/>
      <c r="B124" s="94" t="s">
        <v>82</v>
      </c>
      <c r="C124" s="94" t="s">
        <v>83</v>
      </c>
      <c r="D124" s="93"/>
      <c r="E124" s="93" t="s">
        <v>84</v>
      </c>
      <c r="F124" s="93" t="s">
        <v>542</v>
      </c>
      <c r="G124" s="93" t="s">
        <v>86</v>
      </c>
      <c r="H124" s="93" t="s">
        <v>543</v>
      </c>
      <c r="I124" s="93"/>
      <c r="J124" s="93" t="s">
        <v>517</v>
      </c>
      <c r="K124" s="93" t="s">
        <v>469</v>
      </c>
      <c r="L124" s="93" t="s">
        <v>470</v>
      </c>
      <c r="M124" s="93" t="s">
        <v>98</v>
      </c>
      <c r="N124" s="93"/>
      <c r="O124" s="93"/>
      <c r="P124" s="93">
        <v>12.0</v>
      </c>
      <c r="Q124" s="93">
        <v>1.0</v>
      </c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>
        <v>1.0</v>
      </c>
      <c r="AC124" s="93">
        <v>1.0</v>
      </c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5" t="s">
        <v>95</v>
      </c>
      <c r="AR124" s="95" t="s">
        <v>95</v>
      </c>
      <c r="AS124" s="95" t="str">
        <f t="shared" si="49"/>
        <v>#VALUE!</v>
      </c>
      <c r="AT124" s="93" t="s">
        <v>544</v>
      </c>
      <c r="AU124" s="95"/>
      <c r="AV124" s="95"/>
      <c r="AW124" s="95"/>
      <c r="AX124" s="93"/>
      <c r="AY124" s="93"/>
      <c r="AZ124" s="95">
        <f t="shared" si="48"/>
        <v>46171</v>
      </c>
      <c r="BA124" s="95"/>
    </row>
    <row r="125" ht="30.75" customHeight="1">
      <c r="A125" s="93" t="s">
        <v>81</v>
      </c>
      <c r="B125" s="94" t="s">
        <v>82</v>
      </c>
      <c r="C125" s="94" t="s">
        <v>83</v>
      </c>
      <c r="D125" s="93"/>
      <c r="E125" s="93" t="s">
        <v>545</v>
      </c>
      <c r="F125" s="93" t="s">
        <v>546</v>
      </c>
      <c r="G125" s="93" t="s">
        <v>86</v>
      </c>
      <c r="H125" s="93"/>
      <c r="I125" s="93"/>
      <c r="J125" s="93" t="s">
        <v>547</v>
      </c>
      <c r="K125" s="93"/>
      <c r="L125" s="93" t="s">
        <v>470</v>
      </c>
      <c r="M125" s="93"/>
      <c r="N125" s="93"/>
      <c r="O125" s="93"/>
      <c r="P125" s="93">
        <v>12.0</v>
      </c>
      <c r="Q125" s="93">
        <v>1.0</v>
      </c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>
        <v>1.0</v>
      </c>
      <c r="AC125" s="93">
        <v>1.0</v>
      </c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5" t="s">
        <v>95</v>
      </c>
      <c r="AR125" s="95" t="s">
        <v>95</v>
      </c>
      <c r="AS125" s="95" t="str">
        <f t="shared" si="49"/>
        <v>#VALUE!</v>
      </c>
      <c r="AT125" s="93" t="s">
        <v>548</v>
      </c>
      <c r="AU125" s="95"/>
      <c r="AV125" s="95"/>
      <c r="AW125" s="95"/>
      <c r="AX125" s="93"/>
      <c r="AY125" s="93"/>
      <c r="AZ125" s="95">
        <f t="shared" si="48"/>
        <v>46171</v>
      </c>
      <c r="BA125" s="95"/>
    </row>
    <row r="126" ht="30.75" customHeight="1">
      <c r="A126" s="93" t="s">
        <v>106</v>
      </c>
      <c r="B126" s="94"/>
      <c r="C126" s="93" t="s">
        <v>206</v>
      </c>
      <c r="D126" s="93">
        <v>1.0</v>
      </c>
      <c r="E126" s="93" t="s">
        <v>153</v>
      </c>
      <c r="F126" s="93"/>
      <c r="G126" s="93" t="s">
        <v>86</v>
      </c>
      <c r="H126" s="93" t="s">
        <v>98</v>
      </c>
      <c r="I126" s="93" t="s">
        <v>118</v>
      </c>
      <c r="J126" s="93" t="s">
        <v>239</v>
      </c>
      <c r="K126" s="93" t="s">
        <v>220</v>
      </c>
      <c r="L126" s="93" t="s">
        <v>236</v>
      </c>
      <c r="M126" s="127">
        <v>975990.0</v>
      </c>
      <c r="N126" s="93" t="s">
        <v>223</v>
      </c>
      <c r="O126" s="93" t="s">
        <v>124</v>
      </c>
      <c r="P126" s="93">
        <v>2.0</v>
      </c>
      <c r="Q126" s="93" t="s">
        <v>98</v>
      </c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 t="s">
        <v>549</v>
      </c>
      <c r="AQ126" s="93" t="s">
        <v>125</v>
      </c>
      <c r="AR126" s="93" t="s">
        <v>125</v>
      </c>
      <c r="AS126" s="95" t="str">
        <f t="shared" ref="AS126:AS128" si="50">DATE(YEAR(AQ126),MONTH(AQ126)+Q126,DAY(AQ126))</f>
        <v>#VALUE!</v>
      </c>
      <c r="AT126" s="93"/>
      <c r="AU126" s="103"/>
      <c r="AV126" s="93"/>
      <c r="AW126" s="103"/>
      <c r="AX126" s="93" t="s">
        <v>99</v>
      </c>
      <c r="AY126" s="93" t="str">
        <f>#REF!</f>
        <v>#REF!</v>
      </c>
      <c r="AZ126" s="95">
        <f t="shared" si="48"/>
        <v>46171</v>
      </c>
      <c r="BA126" s="93"/>
    </row>
    <row r="127" ht="30.75" customHeight="1">
      <c r="A127" s="93" t="s">
        <v>106</v>
      </c>
      <c r="B127" s="94"/>
      <c r="C127" s="93" t="s">
        <v>206</v>
      </c>
      <c r="D127" s="93">
        <v>1.0</v>
      </c>
      <c r="E127" s="93" t="s">
        <v>153</v>
      </c>
      <c r="F127" s="93"/>
      <c r="G127" s="93" t="s">
        <v>86</v>
      </c>
      <c r="H127" s="93" t="s">
        <v>98</v>
      </c>
      <c r="I127" s="93" t="s">
        <v>118</v>
      </c>
      <c r="J127" s="93" t="s">
        <v>239</v>
      </c>
      <c r="K127" s="93" t="s">
        <v>220</v>
      </c>
      <c r="L127" s="93" t="s">
        <v>236</v>
      </c>
      <c r="M127" s="127">
        <v>55916.0</v>
      </c>
      <c r="N127" s="93" t="s">
        <v>223</v>
      </c>
      <c r="O127" s="93" t="s">
        <v>124</v>
      </c>
      <c r="P127" s="93">
        <v>2.0</v>
      </c>
      <c r="Q127" s="93" t="s">
        <v>98</v>
      </c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 t="s">
        <v>549</v>
      </c>
      <c r="AQ127" s="93" t="s">
        <v>125</v>
      </c>
      <c r="AR127" s="93" t="s">
        <v>125</v>
      </c>
      <c r="AS127" s="95" t="str">
        <f t="shared" si="50"/>
        <v>#VALUE!</v>
      </c>
      <c r="AT127" s="93"/>
      <c r="AU127" s="103"/>
      <c r="AV127" s="93"/>
      <c r="AW127" s="103"/>
      <c r="AX127" s="93"/>
      <c r="AY127" s="93"/>
      <c r="AZ127" s="95"/>
      <c r="BA127" s="93"/>
    </row>
    <row r="128" ht="30.75" customHeight="1">
      <c r="A128" s="93" t="s">
        <v>81</v>
      </c>
      <c r="B128" s="94"/>
      <c r="C128" s="93" t="s">
        <v>206</v>
      </c>
      <c r="D128" s="93">
        <v>2.0</v>
      </c>
      <c r="E128" s="93" t="s">
        <v>153</v>
      </c>
      <c r="F128" s="93"/>
      <c r="G128" s="93" t="s">
        <v>86</v>
      </c>
      <c r="H128" s="93" t="s">
        <v>550</v>
      </c>
      <c r="I128" s="93" t="s">
        <v>88</v>
      </c>
      <c r="J128" s="93" t="s">
        <v>551</v>
      </c>
      <c r="K128" s="93" t="s">
        <v>552</v>
      </c>
      <c r="L128" s="93" t="s">
        <v>553</v>
      </c>
      <c r="M128" s="93">
        <v>1.015219030138E12</v>
      </c>
      <c r="N128" s="93" t="s">
        <v>123</v>
      </c>
      <c r="O128" s="93" t="s">
        <v>124</v>
      </c>
      <c r="P128" s="93">
        <v>12.0</v>
      </c>
      <c r="Q128" s="93" t="s">
        <v>98</v>
      </c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>
        <v>1.0</v>
      </c>
      <c r="AG128" s="93">
        <v>1.0</v>
      </c>
      <c r="AH128" s="93"/>
      <c r="AI128" s="93"/>
      <c r="AJ128" s="93"/>
      <c r="AK128" s="93"/>
      <c r="AL128" s="93"/>
      <c r="AM128" s="93"/>
      <c r="AN128" s="93"/>
      <c r="AO128" s="93"/>
      <c r="AP128" s="93"/>
      <c r="AQ128" s="93" t="s">
        <v>125</v>
      </c>
      <c r="AR128" s="93" t="s">
        <v>125</v>
      </c>
      <c r="AS128" s="95" t="str">
        <f t="shared" si="50"/>
        <v>#VALUE!</v>
      </c>
      <c r="AT128" s="93" t="s">
        <v>554</v>
      </c>
      <c r="AU128" s="103"/>
      <c r="AV128" s="93"/>
      <c r="AW128" s="103"/>
      <c r="AX128" s="93" t="s">
        <v>99</v>
      </c>
      <c r="AY128" s="93" t="str">
        <f>#REF!</f>
        <v>#REF!</v>
      </c>
      <c r="AZ128" s="95">
        <f t="shared" ref="AZ128:AZ147" si="51">TODAY()</f>
        <v>46171</v>
      </c>
      <c r="BA128" s="93"/>
    </row>
    <row r="129" ht="30.75" customHeight="1">
      <c r="A129" s="93"/>
      <c r="B129" s="94" t="s">
        <v>82</v>
      </c>
      <c r="C129" s="94" t="s">
        <v>83</v>
      </c>
      <c r="D129" s="93"/>
      <c r="E129" s="93" t="s">
        <v>545</v>
      </c>
      <c r="F129" s="93" t="s">
        <v>555</v>
      </c>
      <c r="G129" s="93" t="s">
        <v>86</v>
      </c>
      <c r="H129" s="93"/>
      <c r="I129" s="93"/>
      <c r="J129" s="93" t="s">
        <v>547</v>
      </c>
      <c r="K129" s="93"/>
      <c r="L129" s="93" t="s">
        <v>470</v>
      </c>
      <c r="M129" s="93"/>
      <c r="N129" s="93"/>
      <c r="O129" s="93"/>
      <c r="P129" s="93">
        <v>12.0</v>
      </c>
      <c r="Q129" s="93">
        <v>1.0</v>
      </c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>
        <v>1.0</v>
      </c>
      <c r="AC129" s="93">
        <v>1.0</v>
      </c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5" t="s">
        <v>95</v>
      </c>
      <c r="AR129" s="95" t="s">
        <v>95</v>
      </c>
      <c r="AS129" s="95" t="s">
        <v>96</v>
      </c>
      <c r="AT129" s="93" t="s">
        <v>556</v>
      </c>
      <c r="AU129" s="95"/>
      <c r="AV129" s="95"/>
      <c r="AW129" s="95"/>
      <c r="AX129" s="93"/>
      <c r="AY129" s="93"/>
      <c r="AZ129" s="95">
        <f t="shared" si="51"/>
        <v>46171</v>
      </c>
      <c r="BA129" s="95"/>
    </row>
    <row r="130" ht="30.75" customHeight="1">
      <c r="A130" s="93"/>
      <c r="B130" s="94" t="s">
        <v>82</v>
      </c>
      <c r="C130" s="94" t="s">
        <v>83</v>
      </c>
      <c r="D130" s="93"/>
      <c r="E130" s="93" t="s">
        <v>545</v>
      </c>
      <c r="F130" s="93" t="s">
        <v>557</v>
      </c>
      <c r="G130" s="93" t="s">
        <v>86</v>
      </c>
      <c r="H130" s="93"/>
      <c r="I130" s="93"/>
      <c r="J130" s="93" t="s">
        <v>547</v>
      </c>
      <c r="K130" s="93"/>
      <c r="L130" s="93" t="s">
        <v>470</v>
      </c>
      <c r="M130" s="93"/>
      <c r="N130" s="93"/>
      <c r="O130" s="93"/>
      <c r="P130" s="93">
        <v>12.0</v>
      </c>
      <c r="Q130" s="93">
        <v>1.0</v>
      </c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>
        <v>1.0</v>
      </c>
      <c r="AC130" s="93">
        <v>1.0</v>
      </c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5" t="s">
        <v>95</v>
      </c>
      <c r="AR130" s="95" t="s">
        <v>95</v>
      </c>
      <c r="AS130" s="95" t="s">
        <v>96</v>
      </c>
      <c r="AT130" s="93" t="s">
        <v>558</v>
      </c>
      <c r="AU130" s="95"/>
      <c r="AV130" s="95"/>
      <c r="AW130" s="95"/>
      <c r="AX130" s="93"/>
      <c r="AY130" s="93"/>
      <c r="AZ130" s="95">
        <f t="shared" si="51"/>
        <v>46171</v>
      </c>
      <c r="BA130" s="95"/>
    </row>
    <row r="131" ht="30.75" customHeight="1">
      <c r="A131" s="93"/>
      <c r="B131" s="94" t="s">
        <v>82</v>
      </c>
      <c r="C131" s="94" t="s">
        <v>83</v>
      </c>
      <c r="D131" s="94">
        <v>29.0</v>
      </c>
      <c r="E131" s="93" t="s">
        <v>84</v>
      </c>
      <c r="F131" s="93" t="s">
        <v>98</v>
      </c>
      <c r="G131" s="93" t="s">
        <v>86</v>
      </c>
      <c r="H131" s="93" t="s">
        <v>98</v>
      </c>
      <c r="I131" s="93" t="s">
        <v>88</v>
      </c>
      <c r="J131" s="93" t="s">
        <v>559</v>
      </c>
      <c r="K131" s="93" t="s">
        <v>469</v>
      </c>
      <c r="L131" s="93" t="s">
        <v>470</v>
      </c>
      <c r="M131" s="93" t="s">
        <v>98</v>
      </c>
      <c r="N131" s="93" t="s">
        <v>98</v>
      </c>
      <c r="O131" s="93" t="s">
        <v>94</v>
      </c>
      <c r="P131" s="93">
        <v>12.0</v>
      </c>
      <c r="Q131" s="93" t="s">
        <v>98</v>
      </c>
      <c r="R131" s="93" t="s">
        <v>98</v>
      </c>
      <c r="S131" s="93" t="s">
        <v>98</v>
      </c>
      <c r="T131" s="93" t="s">
        <v>98</v>
      </c>
      <c r="U131" s="93" t="s">
        <v>98</v>
      </c>
      <c r="V131" s="93" t="s">
        <v>98</v>
      </c>
      <c r="W131" s="93" t="s">
        <v>98</v>
      </c>
      <c r="X131" s="93" t="s">
        <v>98</v>
      </c>
      <c r="Y131" s="93" t="s">
        <v>98</v>
      </c>
      <c r="Z131" s="93" t="s">
        <v>98</v>
      </c>
      <c r="AA131" s="93" t="s">
        <v>98</v>
      </c>
      <c r="AB131" s="93" t="s">
        <v>98</v>
      </c>
      <c r="AC131" s="93" t="s">
        <v>98</v>
      </c>
      <c r="AD131" s="93" t="s">
        <v>98</v>
      </c>
      <c r="AE131" s="93" t="s">
        <v>98</v>
      </c>
      <c r="AF131" s="93" t="s">
        <v>98</v>
      </c>
      <c r="AG131" s="93" t="s">
        <v>98</v>
      </c>
      <c r="AH131" s="93" t="s">
        <v>98</v>
      </c>
      <c r="AI131" s="93" t="s">
        <v>98</v>
      </c>
      <c r="AJ131" s="93" t="s">
        <v>98</v>
      </c>
      <c r="AK131" s="93" t="s">
        <v>98</v>
      </c>
      <c r="AL131" s="93" t="s">
        <v>98</v>
      </c>
      <c r="AM131" s="93" t="s">
        <v>98</v>
      </c>
      <c r="AN131" s="93" t="s">
        <v>98</v>
      </c>
      <c r="AO131" s="93" t="s">
        <v>98</v>
      </c>
      <c r="AP131" s="93" t="str">
        <f t="shared" ref="AP131:AP147" si="52">#REF!</f>
        <v>#REF!</v>
      </c>
      <c r="AQ131" s="128" t="s">
        <v>98</v>
      </c>
      <c r="AR131" s="128" t="s">
        <v>98</v>
      </c>
      <c r="AS131" s="128" t="str">
        <f t="shared" ref="AS131:AS139" si="53">DATE(YEAR(AQ131),MONTH(AQ131)+P131,DAY(AQ131))</f>
        <v>#VALUE!</v>
      </c>
      <c r="AT131" s="128" t="s">
        <v>98</v>
      </c>
      <c r="AU131" s="128" t="s">
        <v>98</v>
      </c>
      <c r="AV131" s="95" t="s">
        <v>98</v>
      </c>
      <c r="AW131" s="95" t="s">
        <v>98</v>
      </c>
      <c r="AX131" s="93" t="s">
        <v>472</v>
      </c>
      <c r="AY131" s="93" t="str">
        <f t="shared" ref="AY131:AY147" si="54">#REF!</f>
        <v>#REF!</v>
      </c>
      <c r="AZ131" s="95">
        <f t="shared" si="51"/>
        <v>46171</v>
      </c>
      <c r="BA131" s="95"/>
    </row>
    <row r="132" ht="30.75" customHeight="1">
      <c r="A132" s="93"/>
      <c r="B132" s="94" t="s">
        <v>82</v>
      </c>
      <c r="C132" s="94" t="s">
        <v>83</v>
      </c>
      <c r="D132" s="93">
        <v>30.0</v>
      </c>
      <c r="E132" s="93" t="s">
        <v>84</v>
      </c>
      <c r="F132" s="93" t="s">
        <v>98</v>
      </c>
      <c r="G132" s="93" t="s">
        <v>86</v>
      </c>
      <c r="H132" s="93" t="s">
        <v>98</v>
      </c>
      <c r="I132" s="93" t="s">
        <v>88</v>
      </c>
      <c r="J132" s="93" t="s">
        <v>560</v>
      </c>
      <c r="K132" s="93" t="s">
        <v>469</v>
      </c>
      <c r="L132" s="93" t="s">
        <v>470</v>
      </c>
      <c r="M132" s="93" t="s">
        <v>98</v>
      </c>
      <c r="N132" s="93" t="s">
        <v>98</v>
      </c>
      <c r="O132" s="93" t="s">
        <v>94</v>
      </c>
      <c r="P132" s="93">
        <v>12.0</v>
      </c>
      <c r="Q132" s="93" t="s">
        <v>98</v>
      </c>
      <c r="R132" s="93" t="s">
        <v>98</v>
      </c>
      <c r="S132" s="93" t="s">
        <v>98</v>
      </c>
      <c r="T132" s="93" t="s">
        <v>98</v>
      </c>
      <c r="U132" s="93" t="s">
        <v>98</v>
      </c>
      <c r="V132" s="93" t="s">
        <v>98</v>
      </c>
      <c r="W132" s="93" t="s">
        <v>98</v>
      </c>
      <c r="X132" s="93" t="s">
        <v>98</v>
      </c>
      <c r="Y132" s="93" t="s">
        <v>98</v>
      </c>
      <c r="Z132" s="93" t="s">
        <v>98</v>
      </c>
      <c r="AA132" s="93" t="s">
        <v>98</v>
      </c>
      <c r="AB132" s="93" t="s">
        <v>98</v>
      </c>
      <c r="AC132" s="93" t="s">
        <v>98</v>
      </c>
      <c r="AD132" s="93" t="s">
        <v>98</v>
      </c>
      <c r="AE132" s="93" t="s">
        <v>98</v>
      </c>
      <c r="AF132" s="93" t="s">
        <v>98</v>
      </c>
      <c r="AG132" s="93" t="s">
        <v>98</v>
      </c>
      <c r="AH132" s="93" t="s">
        <v>98</v>
      </c>
      <c r="AI132" s="93" t="s">
        <v>98</v>
      </c>
      <c r="AJ132" s="93" t="s">
        <v>98</v>
      </c>
      <c r="AK132" s="93" t="s">
        <v>98</v>
      </c>
      <c r="AL132" s="93" t="s">
        <v>98</v>
      </c>
      <c r="AM132" s="93" t="s">
        <v>98</v>
      </c>
      <c r="AN132" s="93" t="s">
        <v>98</v>
      </c>
      <c r="AO132" s="93" t="s">
        <v>98</v>
      </c>
      <c r="AP132" s="93" t="str">
        <f t="shared" si="52"/>
        <v>#REF!</v>
      </c>
      <c r="AQ132" s="129" t="s">
        <v>98</v>
      </c>
      <c r="AR132" s="129" t="s">
        <v>98</v>
      </c>
      <c r="AS132" s="129" t="str">
        <f t="shared" si="53"/>
        <v>#VALUE!</v>
      </c>
      <c r="AT132" s="129" t="s">
        <v>98</v>
      </c>
      <c r="AU132" s="129" t="s">
        <v>98</v>
      </c>
      <c r="AV132" s="95" t="s">
        <v>98</v>
      </c>
      <c r="AW132" s="95" t="s">
        <v>98</v>
      </c>
      <c r="AX132" s="93" t="s">
        <v>472</v>
      </c>
      <c r="AY132" s="93" t="str">
        <f t="shared" si="54"/>
        <v>#REF!</v>
      </c>
      <c r="AZ132" s="95">
        <f t="shared" si="51"/>
        <v>46171</v>
      </c>
      <c r="BA132" s="95"/>
    </row>
    <row r="133" ht="30.75" customHeight="1">
      <c r="A133" s="93"/>
      <c r="B133" s="94" t="s">
        <v>82</v>
      </c>
      <c r="C133" s="94" t="s">
        <v>83</v>
      </c>
      <c r="D133" s="94">
        <v>31.0</v>
      </c>
      <c r="E133" s="93" t="s">
        <v>84</v>
      </c>
      <c r="F133" s="93" t="s">
        <v>98</v>
      </c>
      <c r="G133" s="93" t="s">
        <v>86</v>
      </c>
      <c r="H133" s="93" t="s">
        <v>98</v>
      </c>
      <c r="I133" s="93" t="s">
        <v>88</v>
      </c>
      <c r="J133" s="93" t="s">
        <v>561</v>
      </c>
      <c r="K133" s="93" t="s">
        <v>469</v>
      </c>
      <c r="L133" s="93" t="s">
        <v>470</v>
      </c>
      <c r="M133" s="93" t="s">
        <v>98</v>
      </c>
      <c r="N133" s="93" t="s">
        <v>98</v>
      </c>
      <c r="O133" s="93" t="s">
        <v>94</v>
      </c>
      <c r="P133" s="93">
        <v>12.0</v>
      </c>
      <c r="Q133" s="93" t="s">
        <v>98</v>
      </c>
      <c r="R133" s="93" t="s">
        <v>98</v>
      </c>
      <c r="S133" s="93" t="s">
        <v>98</v>
      </c>
      <c r="T133" s="93" t="s">
        <v>98</v>
      </c>
      <c r="U133" s="93" t="s">
        <v>98</v>
      </c>
      <c r="V133" s="93" t="s">
        <v>98</v>
      </c>
      <c r="W133" s="93" t="s">
        <v>98</v>
      </c>
      <c r="X133" s="93" t="s">
        <v>98</v>
      </c>
      <c r="Y133" s="93" t="s">
        <v>98</v>
      </c>
      <c r="Z133" s="93" t="s">
        <v>98</v>
      </c>
      <c r="AA133" s="93" t="s">
        <v>98</v>
      </c>
      <c r="AB133" s="93" t="s">
        <v>98</v>
      </c>
      <c r="AC133" s="93" t="s">
        <v>98</v>
      </c>
      <c r="AD133" s="93" t="s">
        <v>98</v>
      </c>
      <c r="AE133" s="93" t="s">
        <v>98</v>
      </c>
      <c r="AF133" s="93" t="s">
        <v>98</v>
      </c>
      <c r="AG133" s="93" t="s">
        <v>98</v>
      </c>
      <c r="AH133" s="93" t="s">
        <v>98</v>
      </c>
      <c r="AI133" s="93" t="s">
        <v>98</v>
      </c>
      <c r="AJ133" s="93" t="s">
        <v>98</v>
      </c>
      <c r="AK133" s="93" t="s">
        <v>98</v>
      </c>
      <c r="AL133" s="93" t="s">
        <v>98</v>
      </c>
      <c r="AM133" s="93" t="s">
        <v>98</v>
      </c>
      <c r="AN133" s="93" t="s">
        <v>98</v>
      </c>
      <c r="AO133" s="93" t="s">
        <v>98</v>
      </c>
      <c r="AP133" s="93" t="str">
        <f t="shared" si="52"/>
        <v>#REF!</v>
      </c>
      <c r="AQ133" s="95" t="s">
        <v>98</v>
      </c>
      <c r="AR133" s="95" t="s">
        <v>98</v>
      </c>
      <c r="AS133" s="95" t="str">
        <f t="shared" si="53"/>
        <v>#VALUE!</v>
      </c>
      <c r="AT133" s="95" t="s">
        <v>98</v>
      </c>
      <c r="AU133" s="95" t="s">
        <v>98</v>
      </c>
      <c r="AV133" s="95" t="s">
        <v>98</v>
      </c>
      <c r="AW133" s="95" t="s">
        <v>98</v>
      </c>
      <c r="AX133" s="93" t="s">
        <v>472</v>
      </c>
      <c r="AY133" s="93" t="str">
        <f t="shared" si="54"/>
        <v>#REF!</v>
      </c>
      <c r="AZ133" s="95">
        <f t="shared" si="51"/>
        <v>46171</v>
      </c>
      <c r="BA133" s="95"/>
    </row>
    <row r="134" ht="30.75" customHeight="1">
      <c r="A134" s="93"/>
      <c r="B134" s="94" t="s">
        <v>82</v>
      </c>
      <c r="C134" s="94" t="s">
        <v>83</v>
      </c>
      <c r="D134" s="94">
        <v>33.0</v>
      </c>
      <c r="E134" s="93" t="s">
        <v>84</v>
      </c>
      <c r="F134" s="93" t="s">
        <v>98</v>
      </c>
      <c r="G134" s="93" t="s">
        <v>86</v>
      </c>
      <c r="H134" s="93" t="s">
        <v>98</v>
      </c>
      <c r="I134" s="93" t="s">
        <v>88</v>
      </c>
      <c r="J134" s="93" t="s">
        <v>562</v>
      </c>
      <c r="K134" s="93" t="s">
        <v>469</v>
      </c>
      <c r="L134" s="93" t="s">
        <v>470</v>
      </c>
      <c r="M134" s="93" t="s">
        <v>98</v>
      </c>
      <c r="N134" s="93" t="s">
        <v>98</v>
      </c>
      <c r="O134" s="93" t="s">
        <v>94</v>
      </c>
      <c r="P134" s="93">
        <v>12.0</v>
      </c>
      <c r="Q134" s="93" t="s">
        <v>98</v>
      </c>
      <c r="R134" s="93" t="s">
        <v>98</v>
      </c>
      <c r="S134" s="93" t="s">
        <v>98</v>
      </c>
      <c r="T134" s="93" t="s">
        <v>98</v>
      </c>
      <c r="U134" s="93" t="s">
        <v>98</v>
      </c>
      <c r="V134" s="93" t="s">
        <v>98</v>
      </c>
      <c r="W134" s="93" t="s">
        <v>98</v>
      </c>
      <c r="X134" s="93" t="s">
        <v>98</v>
      </c>
      <c r="Y134" s="93" t="s">
        <v>98</v>
      </c>
      <c r="Z134" s="93" t="s">
        <v>98</v>
      </c>
      <c r="AA134" s="93" t="s">
        <v>98</v>
      </c>
      <c r="AB134" s="93" t="s">
        <v>98</v>
      </c>
      <c r="AC134" s="93" t="s">
        <v>98</v>
      </c>
      <c r="AD134" s="93" t="s">
        <v>98</v>
      </c>
      <c r="AE134" s="93" t="s">
        <v>98</v>
      </c>
      <c r="AF134" s="93" t="s">
        <v>98</v>
      </c>
      <c r="AG134" s="93" t="s">
        <v>98</v>
      </c>
      <c r="AH134" s="93" t="s">
        <v>98</v>
      </c>
      <c r="AI134" s="93" t="s">
        <v>98</v>
      </c>
      <c r="AJ134" s="93" t="s">
        <v>98</v>
      </c>
      <c r="AK134" s="93" t="s">
        <v>98</v>
      </c>
      <c r="AL134" s="93" t="s">
        <v>98</v>
      </c>
      <c r="AM134" s="93" t="s">
        <v>98</v>
      </c>
      <c r="AN134" s="93" t="s">
        <v>98</v>
      </c>
      <c r="AO134" s="93" t="s">
        <v>98</v>
      </c>
      <c r="AP134" s="93" t="str">
        <f t="shared" si="52"/>
        <v>#REF!</v>
      </c>
      <c r="AQ134" s="95" t="s">
        <v>98</v>
      </c>
      <c r="AR134" s="95" t="s">
        <v>98</v>
      </c>
      <c r="AS134" s="95" t="str">
        <f t="shared" si="53"/>
        <v>#VALUE!</v>
      </c>
      <c r="AT134" s="95" t="s">
        <v>98</v>
      </c>
      <c r="AU134" s="95" t="s">
        <v>98</v>
      </c>
      <c r="AV134" s="95" t="s">
        <v>98</v>
      </c>
      <c r="AW134" s="95" t="s">
        <v>98</v>
      </c>
      <c r="AX134" s="93" t="s">
        <v>472</v>
      </c>
      <c r="AY134" s="93" t="str">
        <f t="shared" si="54"/>
        <v>#REF!</v>
      </c>
      <c r="AZ134" s="95">
        <f t="shared" si="51"/>
        <v>46171</v>
      </c>
      <c r="BA134" s="95"/>
    </row>
    <row r="135" ht="30.75" customHeight="1">
      <c r="A135" s="93"/>
      <c r="B135" s="94" t="s">
        <v>82</v>
      </c>
      <c r="C135" s="94" t="s">
        <v>83</v>
      </c>
      <c r="D135" s="93">
        <v>34.0</v>
      </c>
      <c r="E135" s="93" t="s">
        <v>84</v>
      </c>
      <c r="F135" s="93" t="s">
        <v>98</v>
      </c>
      <c r="G135" s="93" t="s">
        <v>86</v>
      </c>
      <c r="H135" s="93" t="s">
        <v>98</v>
      </c>
      <c r="I135" s="93" t="s">
        <v>88</v>
      </c>
      <c r="J135" s="93" t="s">
        <v>563</v>
      </c>
      <c r="K135" s="93" t="s">
        <v>469</v>
      </c>
      <c r="L135" s="93" t="s">
        <v>470</v>
      </c>
      <c r="M135" s="93" t="s">
        <v>98</v>
      </c>
      <c r="N135" s="93" t="s">
        <v>98</v>
      </c>
      <c r="O135" s="93" t="s">
        <v>94</v>
      </c>
      <c r="P135" s="93">
        <v>12.0</v>
      </c>
      <c r="Q135" s="93" t="s">
        <v>98</v>
      </c>
      <c r="R135" s="93" t="s">
        <v>98</v>
      </c>
      <c r="S135" s="93" t="s">
        <v>98</v>
      </c>
      <c r="T135" s="93" t="s">
        <v>98</v>
      </c>
      <c r="U135" s="93" t="s">
        <v>98</v>
      </c>
      <c r="V135" s="93" t="s">
        <v>98</v>
      </c>
      <c r="W135" s="93" t="s">
        <v>98</v>
      </c>
      <c r="X135" s="93" t="s">
        <v>98</v>
      </c>
      <c r="Y135" s="93" t="s">
        <v>98</v>
      </c>
      <c r="Z135" s="93" t="s">
        <v>98</v>
      </c>
      <c r="AA135" s="93" t="s">
        <v>98</v>
      </c>
      <c r="AB135" s="93" t="s">
        <v>98</v>
      </c>
      <c r="AC135" s="93" t="s">
        <v>98</v>
      </c>
      <c r="AD135" s="93" t="s">
        <v>98</v>
      </c>
      <c r="AE135" s="93" t="s">
        <v>98</v>
      </c>
      <c r="AF135" s="93" t="s">
        <v>98</v>
      </c>
      <c r="AG135" s="93" t="s">
        <v>98</v>
      </c>
      <c r="AH135" s="93" t="s">
        <v>98</v>
      </c>
      <c r="AI135" s="93" t="s">
        <v>98</v>
      </c>
      <c r="AJ135" s="93" t="s">
        <v>98</v>
      </c>
      <c r="AK135" s="93" t="s">
        <v>98</v>
      </c>
      <c r="AL135" s="93" t="s">
        <v>98</v>
      </c>
      <c r="AM135" s="93" t="s">
        <v>98</v>
      </c>
      <c r="AN135" s="93" t="s">
        <v>98</v>
      </c>
      <c r="AO135" s="93" t="s">
        <v>98</v>
      </c>
      <c r="AP135" s="93" t="str">
        <f t="shared" si="52"/>
        <v>#REF!</v>
      </c>
      <c r="AQ135" s="95" t="s">
        <v>98</v>
      </c>
      <c r="AR135" s="95" t="s">
        <v>98</v>
      </c>
      <c r="AS135" s="95" t="str">
        <f t="shared" si="53"/>
        <v>#VALUE!</v>
      </c>
      <c r="AT135" s="95" t="s">
        <v>98</v>
      </c>
      <c r="AU135" s="95" t="s">
        <v>98</v>
      </c>
      <c r="AV135" s="95" t="s">
        <v>98</v>
      </c>
      <c r="AW135" s="95" t="s">
        <v>98</v>
      </c>
      <c r="AX135" s="93" t="s">
        <v>472</v>
      </c>
      <c r="AY135" s="93" t="str">
        <f t="shared" si="54"/>
        <v>#REF!</v>
      </c>
      <c r="AZ135" s="95">
        <f t="shared" si="51"/>
        <v>46171</v>
      </c>
      <c r="BA135" s="95"/>
    </row>
    <row r="136" ht="30.75" customHeight="1">
      <c r="A136" s="93"/>
      <c r="B136" s="94" t="s">
        <v>82</v>
      </c>
      <c r="C136" s="94" t="s">
        <v>83</v>
      </c>
      <c r="D136" s="94">
        <v>35.0</v>
      </c>
      <c r="E136" s="93" t="s">
        <v>84</v>
      </c>
      <c r="F136" s="93" t="s">
        <v>98</v>
      </c>
      <c r="G136" s="93" t="s">
        <v>86</v>
      </c>
      <c r="H136" s="93" t="s">
        <v>98</v>
      </c>
      <c r="I136" s="93" t="s">
        <v>88</v>
      </c>
      <c r="J136" s="93" t="s">
        <v>564</v>
      </c>
      <c r="K136" s="93" t="s">
        <v>469</v>
      </c>
      <c r="L136" s="93" t="s">
        <v>470</v>
      </c>
      <c r="M136" s="93" t="s">
        <v>98</v>
      </c>
      <c r="N136" s="93" t="s">
        <v>98</v>
      </c>
      <c r="O136" s="93" t="s">
        <v>94</v>
      </c>
      <c r="P136" s="93">
        <v>12.0</v>
      </c>
      <c r="Q136" s="93" t="s">
        <v>98</v>
      </c>
      <c r="R136" s="93" t="s">
        <v>98</v>
      </c>
      <c r="S136" s="93" t="s">
        <v>98</v>
      </c>
      <c r="T136" s="93" t="s">
        <v>98</v>
      </c>
      <c r="U136" s="93" t="s">
        <v>98</v>
      </c>
      <c r="V136" s="93" t="s">
        <v>98</v>
      </c>
      <c r="W136" s="93" t="s">
        <v>98</v>
      </c>
      <c r="X136" s="93" t="s">
        <v>98</v>
      </c>
      <c r="Y136" s="93" t="s">
        <v>98</v>
      </c>
      <c r="Z136" s="93" t="s">
        <v>98</v>
      </c>
      <c r="AA136" s="93" t="s">
        <v>98</v>
      </c>
      <c r="AB136" s="93" t="s">
        <v>98</v>
      </c>
      <c r="AC136" s="93" t="s">
        <v>98</v>
      </c>
      <c r="AD136" s="93" t="s">
        <v>98</v>
      </c>
      <c r="AE136" s="93" t="s">
        <v>98</v>
      </c>
      <c r="AF136" s="93" t="s">
        <v>98</v>
      </c>
      <c r="AG136" s="93" t="s">
        <v>98</v>
      </c>
      <c r="AH136" s="93" t="s">
        <v>98</v>
      </c>
      <c r="AI136" s="93" t="s">
        <v>98</v>
      </c>
      <c r="AJ136" s="93" t="s">
        <v>98</v>
      </c>
      <c r="AK136" s="93" t="s">
        <v>98</v>
      </c>
      <c r="AL136" s="93" t="s">
        <v>98</v>
      </c>
      <c r="AM136" s="93" t="s">
        <v>98</v>
      </c>
      <c r="AN136" s="93" t="s">
        <v>98</v>
      </c>
      <c r="AO136" s="93" t="s">
        <v>98</v>
      </c>
      <c r="AP136" s="93" t="str">
        <f t="shared" si="52"/>
        <v>#REF!</v>
      </c>
      <c r="AQ136" s="95" t="s">
        <v>98</v>
      </c>
      <c r="AR136" s="95" t="s">
        <v>98</v>
      </c>
      <c r="AS136" s="95" t="str">
        <f t="shared" si="53"/>
        <v>#VALUE!</v>
      </c>
      <c r="AT136" s="95" t="s">
        <v>98</v>
      </c>
      <c r="AU136" s="95" t="s">
        <v>98</v>
      </c>
      <c r="AV136" s="95" t="s">
        <v>98</v>
      </c>
      <c r="AW136" s="95" t="s">
        <v>98</v>
      </c>
      <c r="AX136" s="93" t="s">
        <v>472</v>
      </c>
      <c r="AY136" s="93" t="str">
        <f t="shared" si="54"/>
        <v>#REF!</v>
      </c>
      <c r="AZ136" s="95">
        <f t="shared" si="51"/>
        <v>46171</v>
      </c>
      <c r="BA136" s="95"/>
    </row>
    <row r="137" ht="30.75" customHeight="1">
      <c r="A137" s="93"/>
      <c r="B137" s="94" t="s">
        <v>82</v>
      </c>
      <c r="C137" s="94" t="s">
        <v>83</v>
      </c>
      <c r="D137" s="93">
        <v>36.0</v>
      </c>
      <c r="E137" s="93" t="s">
        <v>84</v>
      </c>
      <c r="F137" s="93" t="s">
        <v>98</v>
      </c>
      <c r="G137" s="93" t="s">
        <v>86</v>
      </c>
      <c r="H137" s="93" t="s">
        <v>98</v>
      </c>
      <c r="I137" s="93" t="s">
        <v>88</v>
      </c>
      <c r="J137" s="93" t="s">
        <v>565</v>
      </c>
      <c r="K137" s="93" t="s">
        <v>469</v>
      </c>
      <c r="L137" s="93" t="s">
        <v>470</v>
      </c>
      <c r="M137" s="93" t="s">
        <v>98</v>
      </c>
      <c r="N137" s="93" t="s">
        <v>98</v>
      </c>
      <c r="O137" s="93" t="s">
        <v>94</v>
      </c>
      <c r="P137" s="93">
        <v>12.0</v>
      </c>
      <c r="Q137" s="93" t="s">
        <v>98</v>
      </c>
      <c r="R137" s="93" t="s">
        <v>98</v>
      </c>
      <c r="S137" s="93" t="s">
        <v>98</v>
      </c>
      <c r="T137" s="93" t="s">
        <v>98</v>
      </c>
      <c r="U137" s="93" t="s">
        <v>98</v>
      </c>
      <c r="V137" s="93" t="s">
        <v>98</v>
      </c>
      <c r="W137" s="93" t="s">
        <v>98</v>
      </c>
      <c r="X137" s="93" t="s">
        <v>98</v>
      </c>
      <c r="Y137" s="93" t="s">
        <v>98</v>
      </c>
      <c r="Z137" s="93" t="s">
        <v>98</v>
      </c>
      <c r="AA137" s="93" t="s">
        <v>98</v>
      </c>
      <c r="AB137" s="93" t="s">
        <v>98</v>
      </c>
      <c r="AC137" s="93" t="s">
        <v>98</v>
      </c>
      <c r="AD137" s="93" t="s">
        <v>98</v>
      </c>
      <c r="AE137" s="93" t="s">
        <v>98</v>
      </c>
      <c r="AF137" s="93" t="s">
        <v>98</v>
      </c>
      <c r="AG137" s="93" t="s">
        <v>98</v>
      </c>
      <c r="AH137" s="93" t="s">
        <v>98</v>
      </c>
      <c r="AI137" s="93" t="s">
        <v>98</v>
      </c>
      <c r="AJ137" s="93" t="s">
        <v>98</v>
      </c>
      <c r="AK137" s="93" t="s">
        <v>98</v>
      </c>
      <c r="AL137" s="93" t="s">
        <v>98</v>
      </c>
      <c r="AM137" s="93" t="s">
        <v>98</v>
      </c>
      <c r="AN137" s="93" t="s">
        <v>98</v>
      </c>
      <c r="AO137" s="93" t="s">
        <v>98</v>
      </c>
      <c r="AP137" s="93" t="str">
        <f t="shared" si="52"/>
        <v>#REF!</v>
      </c>
      <c r="AQ137" s="95" t="s">
        <v>98</v>
      </c>
      <c r="AR137" s="95" t="s">
        <v>98</v>
      </c>
      <c r="AS137" s="95" t="str">
        <f t="shared" si="53"/>
        <v>#VALUE!</v>
      </c>
      <c r="AT137" s="95" t="s">
        <v>98</v>
      </c>
      <c r="AU137" s="95" t="s">
        <v>98</v>
      </c>
      <c r="AV137" s="95" t="s">
        <v>98</v>
      </c>
      <c r="AW137" s="95" t="s">
        <v>98</v>
      </c>
      <c r="AX137" s="93" t="s">
        <v>472</v>
      </c>
      <c r="AY137" s="93" t="str">
        <f t="shared" si="54"/>
        <v>#REF!</v>
      </c>
      <c r="AZ137" s="95">
        <f t="shared" si="51"/>
        <v>46171</v>
      </c>
      <c r="BA137" s="95"/>
    </row>
    <row r="138" ht="30.75" customHeight="1">
      <c r="A138" s="93"/>
      <c r="B138" s="94" t="s">
        <v>82</v>
      </c>
      <c r="C138" s="94" t="s">
        <v>83</v>
      </c>
      <c r="D138" s="93">
        <v>32.0</v>
      </c>
      <c r="E138" s="93" t="s">
        <v>84</v>
      </c>
      <c r="F138" s="93" t="s">
        <v>98</v>
      </c>
      <c r="G138" s="93" t="s">
        <v>86</v>
      </c>
      <c r="H138" s="93" t="s">
        <v>98</v>
      </c>
      <c r="I138" s="93" t="s">
        <v>88</v>
      </c>
      <c r="J138" s="93" t="s">
        <v>566</v>
      </c>
      <c r="K138" s="93" t="s">
        <v>469</v>
      </c>
      <c r="L138" s="93" t="s">
        <v>470</v>
      </c>
      <c r="M138" s="93" t="s">
        <v>98</v>
      </c>
      <c r="N138" s="93" t="s">
        <v>98</v>
      </c>
      <c r="O138" s="93" t="s">
        <v>94</v>
      </c>
      <c r="P138" s="93">
        <v>12.0</v>
      </c>
      <c r="Q138" s="93" t="s">
        <v>98</v>
      </c>
      <c r="R138" s="93" t="s">
        <v>98</v>
      </c>
      <c r="S138" s="93" t="s">
        <v>98</v>
      </c>
      <c r="T138" s="93" t="s">
        <v>98</v>
      </c>
      <c r="U138" s="93" t="s">
        <v>98</v>
      </c>
      <c r="V138" s="93" t="s">
        <v>98</v>
      </c>
      <c r="W138" s="93" t="s">
        <v>98</v>
      </c>
      <c r="X138" s="93" t="s">
        <v>98</v>
      </c>
      <c r="Y138" s="93" t="s">
        <v>98</v>
      </c>
      <c r="Z138" s="93" t="s">
        <v>98</v>
      </c>
      <c r="AA138" s="93" t="s">
        <v>98</v>
      </c>
      <c r="AB138" s="93" t="s">
        <v>98</v>
      </c>
      <c r="AC138" s="93" t="s">
        <v>98</v>
      </c>
      <c r="AD138" s="93" t="s">
        <v>98</v>
      </c>
      <c r="AE138" s="93" t="s">
        <v>98</v>
      </c>
      <c r="AF138" s="93" t="s">
        <v>98</v>
      </c>
      <c r="AG138" s="93" t="s">
        <v>98</v>
      </c>
      <c r="AH138" s="93" t="s">
        <v>98</v>
      </c>
      <c r="AI138" s="93" t="s">
        <v>98</v>
      </c>
      <c r="AJ138" s="93" t="s">
        <v>98</v>
      </c>
      <c r="AK138" s="93" t="s">
        <v>98</v>
      </c>
      <c r="AL138" s="93" t="s">
        <v>98</v>
      </c>
      <c r="AM138" s="93" t="s">
        <v>98</v>
      </c>
      <c r="AN138" s="93" t="s">
        <v>98</v>
      </c>
      <c r="AO138" s="93" t="s">
        <v>98</v>
      </c>
      <c r="AP138" s="93" t="str">
        <f t="shared" si="52"/>
        <v>#REF!</v>
      </c>
      <c r="AQ138" s="95" t="s">
        <v>98</v>
      </c>
      <c r="AR138" s="95" t="s">
        <v>98</v>
      </c>
      <c r="AS138" s="95" t="str">
        <f t="shared" si="53"/>
        <v>#VALUE!</v>
      </c>
      <c r="AT138" s="95" t="s">
        <v>98</v>
      </c>
      <c r="AU138" s="95" t="s">
        <v>98</v>
      </c>
      <c r="AV138" s="95" t="s">
        <v>98</v>
      </c>
      <c r="AW138" s="95" t="s">
        <v>98</v>
      </c>
      <c r="AX138" s="93" t="s">
        <v>472</v>
      </c>
      <c r="AY138" s="93" t="str">
        <f t="shared" si="54"/>
        <v>#REF!</v>
      </c>
      <c r="AZ138" s="95">
        <f t="shared" si="51"/>
        <v>46171</v>
      </c>
      <c r="BA138" s="95"/>
    </row>
    <row r="139" ht="30.75" customHeight="1">
      <c r="A139" s="93"/>
      <c r="B139" s="94" t="s">
        <v>82</v>
      </c>
      <c r="C139" s="94" t="s">
        <v>83</v>
      </c>
      <c r="D139" s="94">
        <v>37.0</v>
      </c>
      <c r="E139" s="93" t="s">
        <v>84</v>
      </c>
      <c r="F139" s="93" t="s">
        <v>567</v>
      </c>
      <c r="G139" s="93" t="s">
        <v>86</v>
      </c>
      <c r="H139" s="93" t="s">
        <v>568</v>
      </c>
      <c r="I139" s="93" t="s">
        <v>88</v>
      </c>
      <c r="J139" s="93" t="s">
        <v>569</v>
      </c>
      <c r="K139" s="93" t="s">
        <v>570</v>
      </c>
      <c r="L139" s="93" t="s">
        <v>571</v>
      </c>
      <c r="M139" s="96" t="s">
        <v>572</v>
      </c>
      <c r="N139" s="93" t="s">
        <v>98</v>
      </c>
      <c r="O139" s="93" t="s">
        <v>463</v>
      </c>
      <c r="P139" s="93">
        <v>12.0</v>
      </c>
      <c r="Q139" s="93">
        <v>1.0</v>
      </c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>
        <v>1.0</v>
      </c>
      <c r="AE139" s="93">
        <v>1.0</v>
      </c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 t="str">
        <f t="shared" si="52"/>
        <v>#REF!</v>
      </c>
      <c r="AQ139" s="95" t="s">
        <v>98</v>
      </c>
      <c r="AR139" s="95" t="s">
        <v>98</v>
      </c>
      <c r="AS139" s="95" t="str">
        <f t="shared" si="53"/>
        <v>#VALUE!</v>
      </c>
      <c r="AT139" s="95" t="s">
        <v>98</v>
      </c>
      <c r="AU139" s="95" t="s">
        <v>98</v>
      </c>
      <c r="AV139" s="95" t="s">
        <v>98</v>
      </c>
      <c r="AW139" s="95" t="s">
        <v>98</v>
      </c>
      <c r="AX139" s="93" t="s">
        <v>113</v>
      </c>
      <c r="AY139" s="93" t="str">
        <f t="shared" si="54"/>
        <v>#REF!</v>
      </c>
      <c r="AZ139" s="95">
        <f t="shared" si="51"/>
        <v>46171</v>
      </c>
      <c r="BA139" s="95"/>
    </row>
    <row r="140" ht="30.75" customHeight="1">
      <c r="A140" s="93" t="s">
        <v>81</v>
      </c>
      <c r="B140" s="94" t="s">
        <v>82</v>
      </c>
      <c r="C140" s="94" t="s">
        <v>83</v>
      </c>
      <c r="D140" s="93">
        <v>5.0</v>
      </c>
      <c r="E140" s="93" t="s">
        <v>153</v>
      </c>
      <c r="F140" s="93" t="s">
        <v>573</v>
      </c>
      <c r="G140" s="93" t="s">
        <v>86</v>
      </c>
      <c r="H140" s="93"/>
      <c r="I140" s="93"/>
      <c r="J140" s="93" t="s">
        <v>574</v>
      </c>
      <c r="K140" s="93" t="s">
        <v>575</v>
      </c>
      <c r="L140" s="93" t="s">
        <v>576</v>
      </c>
      <c r="M140" s="93" t="s">
        <v>577</v>
      </c>
      <c r="N140" s="93"/>
      <c r="O140" s="93" t="s">
        <v>94</v>
      </c>
      <c r="P140" s="93">
        <v>12.0</v>
      </c>
      <c r="Q140" s="93">
        <v>1.0</v>
      </c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>
        <v>1.0</v>
      </c>
      <c r="AG140" s="93">
        <v>1.0</v>
      </c>
      <c r="AH140" s="93"/>
      <c r="AI140" s="93"/>
      <c r="AJ140" s="93"/>
      <c r="AK140" s="93"/>
      <c r="AL140" s="93"/>
      <c r="AM140" s="93"/>
      <c r="AN140" s="93"/>
      <c r="AO140" s="93"/>
      <c r="AP140" s="93" t="str">
        <f t="shared" si="52"/>
        <v>#REF!</v>
      </c>
      <c r="AQ140" s="95">
        <v>244082.0</v>
      </c>
      <c r="AR140" s="95">
        <v>244082.0</v>
      </c>
      <c r="AS140" s="95">
        <v>244416.0</v>
      </c>
      <c r="AT140" s="93" t="s">
        <v>578</v>
      </c>
      <c r="AU140" s="93"/>
      <c r="AV140" s="93"/>
      <c r="AW140" s="93"/>
      <c r="AX140" s="93" t="s">
        <v>99</v>
      </c>
      <c r="AY140" s="93" t="str">
        <f t="shared" si="54"/>
        <v>#REF!</v>
      </c>
      <c r="AZ140" s="95">
        <f t="shared" si="51"/>
        <v>46171</v>
      </c>
      <c r="BA140" s="95"/>
    </row>
    <row r="141" ht="30.75" customHeight="1">
      <c r="A141" s="93"/>
      <c r="B141" s="94" t="s">
        <v>107</v>
      </c>
      <c r="C141" s="94" t="s">
        <v>83</v>
      </c>
      <c r="D141" s="93">
        <v>38.0</v>
      </c>
      <c r="E141" s="93" t="s">
        <v>84</v>
      </c>
      <c r="F141" s="93" t="s">
        <v>579</v>
      </c>
      <c r="G141" s="93" t="s">
        <v>86</v>
      </c>
      <c r="H141" s="93" t="s">
        <v>580</v>
      </c>
      <c r="I141" s="93" t="s">
        <v>88</v>
      </c>
      <c r="J141" s="93" t="s">
        <v>581</v>
      </c>
      <c r="K141" s="93" t="s">
        <v>93</v>
      </c>
      <c r="L141" s="93" t="s">
        <v>582</v>
      </c>
      <c r="M141" s="93">
        <v>2.01406029E8</v>
      </c>
      <c r="N141" s="93" t="s">
        <v>93</v>
      </c>
      <c r="O141" s="93" t="s">
        <v>463</v>
      </c>
      <c r="P141" s="93">
        <v>12.0</v>
      </c>
      <c r="Q141" s="93" t="s">
        <v>98</v>
      </c>
      <c r="R141" s="93" t="s">
        <v>98</v>
      </c>
      <c r="S141" s="93" t="s">
        <v>98</v>
      </c>
      <c r="T141" s="93" t="s">
        <v>98</v>
      </c>
      <c r="U141" s="93" t="s">
        <v>98</v>
      </c>
      <c r="V141" s="93" t="s">
        <v>98</v>
      </c>
      <c r="W141" s="93" t="s">
        <v>98</v>
      </c>
      <c r="X141" s="93" t="s">
        <v>98</v>
      </c>
      <c r="Y141" s="93" t="s">
        <v>98</v>
      </c>
      <c r="Z141" s="93" t="s">
        <v>98</v>
      </c>
      <c r="AA141" s="93" t="s">
        <v>98</v>
      </c>
      <c r="AB141" s="93" t="s">
        <v>98</v>
      </c>
      <c r="AC141" s="93" t="s">
        <v>98</v>
      </c>
      <c r="AD141" s="93" t="s">
        <v>98</v>
      </c>
      <c r="AE141" s="93" t="s">
        <v>98</v>
      </c>
      <c r="AF141" s="93" t="s">
        <v>98</v>
      </c>
      <c r="AG141" s="93" t="s">
        <v>98</v>
      </c>
      <c r="AH141" s="93" t="s">
        <v>98</v>
      </c>
      <c r="AI141" s="93" t="s">
        <v>98</v>
      </c>
      <c r="AJ141" s="93" t="s">
        <v>98</v>
      </c>
      <c r="AK141" s="93" t="s">
        <v>98</v>
      </c>
      <c r="AL141" s="93" t="s">
        <v>98</v>
      </c>
      <c r="AM141" s="93" t="s">
        <v>98</v>
      </c>
      <c r="AN141" s="93" t="s">
        <v>98</v>
      </c>
      <c r="AO141" s="93" t="s">
        <v>98</v>
      </c>
      <c r="AP141" s="93" t="str">
        <f t="shared" si="52"/>
        <v>#REF!</v>
      </c>
      <c r="AQ141" s="95" t="s">
        <v>98</v>
      </c>
      <c r="AR141" s="95" t="s">
        <v>98</v>
      </c>
      <c r="AS141" s="95" t="str">
        <f t="shared" ref="AS141:AS147" si="55">DATE(YEAR(AQ141),MONTH(AQ141)+P141,DAY(AQ141))</f>
        <v>#VALUE!</v>
      </c>
      <c r="AT141" s="95" t="s">
        <v>98</v>
      </c>
      <c r="AU141" s="95" t="s">
        <v>98</v>
      </c>
      <c r="AV141" s="95" t="s">
        <v>98</v>
      </c>
      <c r="AW141" s="95" t="s">
        <v>98</v>
      </c>
      <c r="AX141" s="93" t="s">
        <v>472</v>
      </c>
      <c r="AY141" s="93" t="str">
        <f t="shared" si="54"/>
        <v>#REF!</v>
      </c>
      <c r="AZ141" s="95">
        <f t="shared" si="51"/>
        <v>46171</v>
      </c>
      <c r="BA141" s="95"/>
    </row>
    <row r="142" ht="30.75" customHeight="1">
      <c r="A142" s="93"/>
      <c r="B142" s="94" t="s">
        <v>107</v>
      </c>
      <c r="C142" s="94" t="s">
        <v>83</v>
      </c>
      <c r="D142" s="94">
        <v>39.0</v>
      </c>
      <c r="E142" s="93" t="s">
        <v>84</v>
      </c>
      <c r="F142" s="93" t="s">
        <v>583</v>
      </c>
      <c r="G142" s="93" t="s">
        <v>86</v>
      </c>
      <c r="H142" s="93" t="s">
        <v>584</v>
      </c>
      <c r="I142" s="93" t="s">
        <v>88</v>
      </c>
      <c r="J142" s="93" t="s">
        <v>585</v>
      </c>
      <c r="K142" s="93" t="s">
        <v>586</v>
      </c>
      <c r="L142" s="93" t="s">
        <v>587</v>
      </c>
      <c r="M142" s="93">
        <v>1.0169912E7</v>
      </c>
      <c r="N142" s="93" t="s">
        <v>588</v>
      </c>
      <c r="O142" s="93" t="s">
        <v>463</v>
      </c>
      <c r="P142" s="93">
        <v>12.0</v>
      </c>
      <c r="Q142" s="93" t="s">
        <v>98</v>
      </c>
      <c r="R142" s="93" t="s">
        <v>98</v>
      </c>
      <c r="S142" s="93" t="s">
        <v>98</v>
      </c>
      <c r="T142" s="93" t="s">
        <v>98</v>
      </c>
      <c r="U142" s="93" t="s">
        <v>98</v>
      </c>
      <c r="V142" s="93" t="s">
        <v>98</v>
      </c>
      <c r="W142" s="93" t="s">
        <v>98</v>
      </c>
      <c r="X142" s="93" t="s">
        <v>98</v>
      </c>
      <c r="Y142" s="93" t="s">
        <v>98</v>
      </c>
      <c r="Z142" s="93" t="s">
        <v>98</v>
      </c>
      <c r="AA142" s="93" t="s">
        <v>98</v>
      </c>
      <c r="AB142" s="93" t="s">
        <v>98</v>
      </c>
      <c r="AC142" s="93" t="s">
        <v>98</v>
      </c>
      <c r="AD142" s="93" t="s">
        <v>98</v>
      </c>
      <c r="AE142" s="93" t="s">
        <v>98</v>
      </c>
      <c r="AF142" s="93" t="s">
        <v>98</v>
      </c>
      <c r="AG142" s="93" t="s">
        <v>98</v>
      </c>
      <c r="AH142" s="93" t="s">
        <v>98</v>
      </c>
      <c r="AI142" s="93" t="s">
        <v>98</v>
      </c>
      <c r="AJ142" s="93" t="s">
        <v>98</v>
      </c>
      <c r="AK142" s="93" t="s">
        <v>98</v>
      </c>
      <c r="AL142" s="93" t="s">
        <v>98</v>
      </c>
      <c r="AM142" s="93" t="s">
        <v>98</v>
      </c>
      <c r="AN142" s="93" t="s">
        <v>98</v>
      </c>
      <c r="AO142" s="93" t="s">
        <v>98</v>
      </c>
      <c r="AP142" s="93" t="str">
        <f t="shared" si="52"/>
        <v>#REF!</v>
      </c>
      <c r="AQ142" s="95" t="s">
        <v>98</v>
      </c>
      <c r="AR142" s="95" t="s">
        <v>98</v>
      </c>
      <c r="AS142" s="95" t="str">
        <f t="shared" si="55"/>
        <v>#VALUE!</v>
      </c>
      <c r="AT142" s="95" t="s">
        <v>98</v>
      </c>
      <c r="AU142" s="95" t="s">
        <v>98</v>
      </c>
      <c r="AV142" s="95" t="s">
        <v>98</v>
      </c>
      <c r="AW142" s="95" t="s">
        <v>98</v>
      </c>
      <c r="AX142" s="93" t="s">
        <v>472</v>
      </c>
      <c r="AY142" s="93" t="str">
        <f t="shared" si="54"/>
        <v>#REF!</v>
      </c>
      <c r="AZ142" s="95">
        <f t="shared" si="51"/>
        <v>46171</v>
      </c>
      <c r="BA142" s="95"/>
    </row>
    <row r="143" ht="30.75" customHeight="1">
      <c r="A143" s="93"/>
      <c r="B143" s="94" t="s">
        <v>107</v>
      </c>
      <c r="C143" s="94" t="s">
        <v>83</v>
      </c>
      <c r="D143" s="93">
        <v>40.0</v>
      </c>
      <c r="E143" s="93" t="s">
        <v>84</v>
      </c>
      <c r="F143" s="93" t="s">
        <v>589</v>
      </c>
      <c r="G143" s="93" t="s">
        <v>86</v>
      </c>
      <c r="H143" s="93" t="s">
        <v>590</v>
      </c>
      <c r="I143" s="93" t="s">
        <v>88</v>
      </c>
      <c r="J143" s="93" t="s">
        <v>585</v>
      </c>
      <c r="K143" s="93" t="s">
        <v>586</v>
      </c>
      <c r="L143" s="93" t="s">
        <v>587</v>
      </c>
      <c r="M143" s="93">
        <v>1.0170012E7</v>
      </c>
      <c r="N143" s="93" t="s">
        <v>588</v>
      </c>
      <c r="O143" s="93" t="s">
        <v>463</v>
      </c>
      <c r="P143" s="93">
        <v>12.0</v>
      </c>
      <c r="Q143" s="93" t="s">
        <v>98</v>
      </c>
      <c r="R143" s="93" t="s">
        <v>98</v>
      </c>
      <c r="S143" s="93" t="s">
        <v>98</v>
      </c>
      <c r="T143" s="93" t="s">
        <v>98</v>
      </c>
      <c r="U143" s="93" t="s">
        <v>98</v>
      </c>
      <c r="V143" s="93" t="s">
        <v>98</v>
      </c>
      <c r="W143" s="93" t="s">
        <v>98</v>
      </c>
      <c r="X143" s="93" t="s">
        <v>98</v>
      </c>
      <c r="Y143" s="93" t="s">
        <v>98</v>
      </c>
      <c r="Z143" s="93" t="s">
        <v>98</v>
      </c>
      <c r="AA143" s="93" t="s">
        <v>98</v>
      </c>
      <c r="AB143" s="93" t="s">
        <v>98</v>
      </c>
      <c r="AC143" s="93" t="s">
        <v>98</v>
      </c>
      <c r="AD143" s="93" t="s">
        <v>98</v>
      </c>
      <c r="AE143" s="93" t="s">
        <v>98</v>
      </c>
      <c r="AF143" s="93" t="s">
        <v>98</v>
      </c>
      <c r="AG143" s="93" t="s">
        <v>98</v>
      </c>
      <c r="AH143" s="93" t="s">
        <v>98</v>
      </c>
      <c r="AI143" s="93" t="s">
        <v>98</v>
      </c>
      <c r="AJ143" s="93" t="s">
        <v>98</v>
      </c>
      <c r="AK143" s="93" t="s">
        <v>98</v>
      </c>
      <c r="AL143" s="93" t="s">
        <v>98</v>
      </c>
      <c r="AM143" s="93" t="s">
        <v>98</v>
      </c>
      <c r="AN143" s="93" t="s">
        <v>98</v>
      </c>
      <c r="AO143" s="93" t="s">
        <v>98</v>
      </c>
      <c r="AP143" s="93" t="str">
        <f t="shared" si="52"/>
        <v>#REF!</v>
      </c>
      <c r="AQ143" s="95" t="s">
        <v>98</v>
      </c>
      <c r="AR143" s="95" t="s">
        <v>98</v>
      </c>
      <c r="AS143" s="95" t="str">
        <f t="shared" si="55"/>
        <v>#VALUE!</v>
      </c>
      <c r="AT143" s="95" t="s">
        <v>98</v>
      </c>
      <c r="AU143" s="95" t="s">
        <v>98</v>
      </c>
      <c r="AV143" s="95" t="s">
        <v>98</v>
      </c>
      <c r="AW143" s="95" t="s">
        <v>98</v>
      </c>
      <c r="AX143" s="93" t="s">
        <v>472</v>
      </c>
      <c r="AY143" s="93" t="str">
        <f t="shared" si="54"/>
        <v>#REF!</v>
      </c>
      <c r="AZ143" s="95">
        <f t="shared" si="51"/>
        <v>46171</v>
      </c>
      <c r="BA143" s="95"/>
    </row>
    <row r="144" ht="30.75" customHeight="1">
      <c r="A144" s="93"/>
      <c r="B144" s="94" t="s">
        <v>107</v>
      </c>
      <c r="C144" s="94" t="s">
        <v>83</v>
      </c>
      <c r="D144" s="93">
        <v>42.0</v>
      </c>
      <c r="E144" s="93" t="s">
        <v>84</v>
      </c>
      <c r="F144" s="93" t="s">
        <v>591</v>
      </c>
      <c r="G144" s="93" t="s">
        <v>86</v>
      </c>
      <c r="H144" s="93" t="s">
        <v>592</v>
      </c>
      <c r="I144" s="93" t="s">
        <v>88</v>
      </c>
      <c r="J144" s="93" t="s">
        <v>585</v>
      </c>
      <c r="K144" s="93" t="s">
        <v>586</v>
      </c>
      <c r="L144" s="93" t="s">
        <v>587</v>
      </c>
      <c r="M144" s="93">
        <v>1.0170112E7</v>
      </c>
      <c r="N144" s="93" t="s">
        <v>588</v>
      </c>
      <c r="O144" s="93" t="s">
        <v>463</v>
      </c>
      <c r="P144" s="93">
        <v>12.0</v>
      </c>
      <c r="Q144" s="93" t="s">
        <v>98</v>
      </c>
      <c r="R144" s="93" t="s">
        <v>98</v>
      </c>
      <c r="S144" s="93" t="s">
        <v>98</v>
      </c>
      <c r="T144" s="93" t="s">
        <v>98</v>
      </c>
      <c r="U144" s="93" t="s">
        <v>98</v>
      </c>
      <c r="V144" s="93" t="s">
        <v>98</v>
      </c>
      <c r="W144" s="93" t="s">
        <v>98</v>
      </c>
      <c r="X144" s="93" t="s">
        <v>98</v>
      </c>
      <c r="Y144" s="93" t="s">
        <v>98</v>
      </c>
      <c r="Z144" s="93" t="s">
        <v>98</v>
      </c>
      <c r="AA144" s="93" t="s">
        <v>98</v>
      </c>
      <c r="AB144" s="93" t="s">
        <v>98</v>
      </c>
      <c r="AC144" s="93" t="s">
        <v>98</v>
      </c>
      <c r="AD144" s="93" t="s">
        <v>98</v>
      </c>
      <c r="AE144" s="93" t="s">
        <v>98</v>
      </c>
      <c r="AF144" s="93" t="s">
        <v>98</v>
      </c>
      <c r="AG144" s="93" t="s">
        <v>98</v>
      </c>
      <c r="AH144" s="93" t="s">
        <v>98</v>
      </c>
      <c r="AI144" s="93" t="s">
        <v>98</v>
      </c>
      <c r="AJ144" s="93" t="s">
        <v>98</v>
      </c>
      <c r="AK144" s="93" t="s">
        <v>98</v>
      </c>
      <c r="AL144" s="93" t="s">
        <v>98</v>
      </c>
      <c r="AM144" s="93" t="s">
        <v>98</v>
      </c>
      <c r="AN144" s="93" t="s">
        <v>98</v>
      </c>
      <c r="AO144" s="93" t="s">
        <v>98</v>
      </c>
      <c r="AP144" s="93" t="str">
        <f t="shared" si="52"/>
        <v>#REF!</v>
      </c>
      <c r="AQ144" s="95" t="s">
        <v>98</v>
      </c>
      <c r="AR144" s="95" t="s">
        <v>98</v>
      </c>
      <c r="AS144" s="95" t="str">
        <f t="shared" si="55"/>
        <v>#VALUE!</v>
      </c>
      <c r="AT144" s="95" t="s">
        <v>98</v>
      </c>
      <c r="AU144" s="95" t="s">
        <v>98</v>
      </c>
      <c r="AV144" s="95" t="s">
        <v>98</v>
      </c>
      <c r="AW144" s="95" t="s">
        <v>98</v>
      </c>
      <c r="AX144" s="93" t="s">
        <v>472</v>
      </c>
      <c r="AY144" s="93" t="str">
        <f t="shared" si="54"/>
        <v>#REF!</v>
      </c>
      <c r="AZ144" s="95">
        <f t="shared" si="51"/>
        <v>46171</v>
      </c>
      <c r="BA144" s="95"/>
    </row>
    <row r="145" ht="30.75" customHeight="1">
      <c r="A145" s="93"/>
      <c r="B145" s="94" t="s">
        <v>107</v>
      </c>
      <c r="C145" s="94" t="s">
        <v>83</v>
      </c>
      <c r="D145" s="94">
        <v>43.0</v>
      </c>
      <c r="E145" s="93" t="s">
        <v>84</v>
      </c>
      <c r="F145" s="93" t="s">
        <v>593</v>
      </c>
      <c r="G145" s="93" t="s">
        <v>86</v>
      </c>
      <c r="H145" s="93" t="s">
        <v>594</v>
      </c>
      <c r="I145" s="93" t="s">
        <v>88</v>
      </c>
      <c r="J145" s="93" t="s">
        <v>585</v>
      </c>
      <c r="K145" s="93" t="s">
        <v>586</v>
      </c>
      <c r="L145" s="93" t="s">
        <v>587</v>
      </c>
      <c r="M145" s="93">
        <v>1.0170212E7</v>
      </c>
      <c r="N145" s="93" t="s">
        <v>588</v>
      </c>
      <c r="O145" s="93" t="s">
        <v>463</v>
      </c>
      <c r="P145" s="93">
        <v>12.0</v>
      </c>
      <c r="Q145" s="93" t="s">
        <v>98</v>
      </c>
      <c r="R145" s="93" t="s">
        <v>98</v>
      </c>
      <c r="S145" s="93" t="s">
        <v>98</v>
      </c>
      <c r="T145" s="93" t="s">
        <v>98</v>
      </c>
      <c r="U145" s="93" t="s">
        <v>98</v>
      </c>
      <c r="V145" s="93" t="s">
        <v>98</v>
      </c>
      <c r="W145" s="93" t="s">
        <v>98</v>
      </c>
      <c r="X145" s="93" t="s">
        <v>98</v>
      </c>
      <c r="Y145" s="93" t="s">
        <v>98</v>
      </c>
      <c r="Z145" s="93" t="s">
        <v>98</v>
      </c>
      <c r="AA145" s="93" t="s">
        <v>98</v>
      </c>
      <c r="AB145" s="93" t="s">
        <v>98</v>
      </c>
      <c r="AC145" s="93" t="s">
        <v>98</v>
      </c>
      <c r="AD145" s="93" t="s">
        <v>98</v>
      </c>
      <c r="AE145" s="93" t="s">
        <v>98</v>
      </c>
      <c r="AF145" s="93" t="s">
        <v>98</v>
      </c>
      <c r="AG145" s="93" t="s">
        <v>98</v>
      </c>
      <c r="AH145" s="93" t="s">
        <v>98</v>
      </c>
      <c r="AI145" s="93" t="s">
        <v>98</v>
      </c>
      <c r="AJ145" s="93" t="s">
        <v>98</v>
      </c>
      <c r="AK145" s="93" t="s">
        <v>98</v>
      </c>
      <c r="AL145" s="93" t="s">
        <v>98</v>
      </c>
      <c r="AM145" s="93" t="s">
        <v>98</v>
      </c>
      <c r="AN145" s="93" t="s">
        <v>98</v>
      </c>
      <c r="AO145" s="93" t="s">
        <v>98</v>
      </c>
      <c r="AP145" s="93" t="str">
        <f t="shared" si="52"/>
        <v>#REF!</v>
      </c>
      <c r="AQ145" s="95" t="s">
        <v>98</v>
      </c>
      <c r="AR145" s="95" t="s">
        <v>98</v>
      </c>
      <c r="AS145" s="95" t="str">
        <f t="shared" si="55"/>
        <v>#VALUE!</v>
      </c>
      <c r="AT145" s="95" t="s">
        <v>98</v>
      </c>
      <c r="AU145" s="95" t="s">
        <v>98</v>
      </c>
      <c r="AV145" s="95" t="s">
        <v>98</v>
      </c>
      <c r="AW145" s="95" t="s">
        <v>98</v>
      </c>
      <c r="AX145" s="93" t="s">
        <v>472</v>
      </c>
      <c r="AY145" s="93" t="str">
        <f t="shared" si="54"/>
        <v>#REF!</v>
      </c>
      <c r="AZ145" s="95">
        <f t="shared" si="51"/>
        <v>46171</v>
      </c>
      <c r="BA145" s="95"/>
    </row>
    <row r="146" ht="30.75" customHeight="1">
      <c r="A146" s="93"/>
      <c r="B146" s="94" t="s">
        <v>107</v>
      </c>
      <c r="C146" s="94" t="s">
        <v>83</v>
      </c>
      <c r="D146" s="94">
        <v>41.0</v>
      </c>
      <c r="E146" s="93" t="s">
        <v>84</v>
      </c>
      <c r="F146" s="93" t="s">
        <v>595</v>
      </c>
      <c r="G146" s="93" t="s">
        <v>86</v>
      </c>
      <c r="H146" s="93" t="s">
        <v>596</v>
      </c>
      <c r="I146" s="93" t="s">
        <v>88</v>
      </c>
      <c r="J146" s="93" t="s">
        <v>585</v>
      </c>
      <c r="K146" s="93" t="s">
        <v>586</v>
      </c>
      <c r="L146" s="93" t="s">
        <v>587</v>
      </c>
      <c r="M146" s="93">
        <v>1.0175613E7</v>
      </c>
      <c r="N146" s="93" t="s">
        <v>588</v>
      </c>
      <c r="O146" s="93" t="s">
        <v>463</v>
      </c>
      <c r="P146" s="93">
        <v>12.0</v>
      </c>
      <c r="Q146" s="93" t="s">
        <v>98</v>
      </c>
      <c r="R146" s="93" t="s">
        <v>98</v>
      </c>
      <c r="S146" s="93" t="s">
        <v>98</v>
      </c>
      <c r="T146" s="93" t="s">
        <v>98</v>
      </c>
      <c r="U146" s="93" t="s">
        <v>98</v>
      </c>
      <c r="V146" s="93" t="s">
        <v>98</v>
      </c>
      <c r="W146" s="93" t="s">
        <v>98</v>
      </c>
      <c r="X146" s="93" t="s">
        <v>98</v>
      </c>
      <c r="Y146" s="93" t="s">
        <v>98</v>
      </c>
      <c r="Z146" s="93" t="s">
        <v>98</v>
      </c>
      <c r="AA146" s="93" t="s">
        <v>98</v>
      </c>
      <c r="AB146" s="93" t="s">
        <v>98</v>
      </c>
      <c r="AC146" s="93" t="s">
        <v>98</v>
      </c>
      <c r="AD146" s="93" t="s">
        <v>98</v>
      </c>
      <c r="AE146" s="93" t="s">
        <v>98</v>
      </c>
      <c r="AF146" s="93" t="s">
        <v>98</v>
      </c>
      <c r="AG146" s="93" t="s">
        <v>98</v>
      </c>
      <c r="AH146" s="93" t="s">
        <v>98</v>
      </c>
      <c r="AI146" s="93" t="s">
        <v>98</v>
      </c>
      <c r="AJ146" s="93" t="s">
        <v>98</v>
      </c>
      <c r="AK146" s="93" t="s">
        <v>98</v>
      </c>
      <c r="AL146" s="93" t="s">
        <v>98</v>
      </c>
      <c r="AM146" s="93" t="s">
        <v>98</v>
      </c>
      <c r="AN146" s="93" t="s">
        <v>98</v>
      </c>
      <c r="AO146" s="93" t="s">
        <v>98</v>
      </c>
      <c r="AP146" s="93" t="str">
        <f t="shared" si="52"/>
        <v>#REF!</v>
      </c>
      <c r="AQ146" s="95" t="s">
        <v>98</v>
      </c>
      <c r="AR146" s="95" t="s">
        <v>98</v>
      </c>
      <c r="AS146" s="95" t="str">
        <f t="shared" si="55"/>
        <v>#VALUE!</v>
      </c>
      <c r="AT146" s="95" t="s">
        <v>98</v>
      </c>
      <c r="AU146" s="95" t="s">
        <v>98</v>
      </c>
      <c r="AV146" s="95" t="s">
        <v>98</v>
      </c>
      <c r="AW146" s="95" t="s">
        <v>98</v>
      </c>
      <c r="AX146" s="93" t="s">
        <v>472</v>
      </c>
      <c r="AY146" s="93" t="str">
        <f t="shared" si="54"/>
        <v>#REF!</v>
      </c>
      <c r="AZ146" s="95">
        <f t="shared" si="51"/>
        <v>46171</v>
      </c>
      <c r="BA146" s="95"/>
    </row>
    <row r="147" ht="30.75" customHeight="1">
      <c r="A147" s="93"/>
      <c r="B147" s="94" t="s">
        <v>107</v>
      </c>
      <c r="C147" s="94" t="s">
        <v>83</v>
      </c>
      <c r="D147" s="93">
        <v>44.0</v>
      </c>
      <c r="E147" s="93" t="s">
        <v>84</v>
      </c>
      <c r="F147" s="93" t="s">
        <v>597</v>
      </c>
      <c r="G147" s="93" t="s">
        <v>86</v>
      </c>
      <c r="H147" s="93" t="s">
        <v>598</v>
      </c>
      <c r="I147" s="93" t="s">
        <v>88</v>
      </c>
      <c r="J147" s="93" t="s">
        <v>585</v>
      </c>
      <c r="K147" s="93" t="s">
        <v>93</v>
      </c>
      <c r="L147" s="93" t="s">
        <v>582</v>
      </c>
      <c r="M147" s="93">
        <v>2.010340234E9</v>
      </c>
      <c r="N147" s="93" t="s">
        <v>93</v>
      </c>
      <c r="O147" s="93" t="s">
        <v>463</v>
      </c>
      <c r="P147" s="93">
        <v>12.0</v>
      </c>
      <c r="Q147" s="93" t="s">
        <v>98</v>
      </c>
      <c r="R147" s="93" t="s">
        <v>98</v>
      </c>
      <c r="S147" s="93" t="s">
        <v>98</v>
      </c>
      <c r="T147" s="93" t="s">
        <v>98</v>
      </c>
      <c r="U147" s="93" t="s">
        <v>98</v>
      </c>
      <c r="V147" s="93" t="s">
        <v>98</v>
      </c>
      <c r="W147" s="93" t="s">
        <v>98</v>
      </c>
      <c r="X147" s="93" t="s">
        <v>98</v>
      </c>
      <c r="Y147" s="93" t="s">
        <v>98</v>
      </c>
      <c r="Z147" s="93" t="s">
        <v>98</v>
      </c>
      <c r="AA147" s="93" t="s">
        <v>98</v>
      </c>
      <c r="AB147" s="93" t="s">
        <v>98</v>
      </c>
      <c r="AC147" s="93" t="s">
        <v>98</v>
      </c>
      <c r="AD147" s="93" t="s">
        <v>98</v>
      </c>
      <c r="AE147" s="93" t="s">
        <v>98</v>
      </c>
      <c r="AF147" s="93" t="s">
        <v>98</v>
      </c>
      <c r="AG147" s="93" t="s">
        <v>98</v>
      </c>
      <c r="AH147" s="93" t="s">
        <v>98</v>
      </c>
      <c r="AI147" s="93" t="s">
        <v>98</v>
      </c>
      <c r="AJ147" s="93" t="s">
        <v>98</v>
      </c>
      <c r="AK147" s="93" t="s">
        <v>98</v>
      </c>
      <c r="AL147" s="93" t="s">
        <v>98</v>
      </c>
      <c r="AM147" s="93" t="s">
        <v>98</v>
      </c>
      <c r="AN147" s="93" t="s">
        <v>98</v>
      </c>
      <c r="AO147" s="93" t="s">
        <v>98</v>
      </c>
      <c r="AP147" s="93" t="str">
        <f t="shared" si="52"/>
        <v>#REF!</v>
      </c>
      <c r="AQ147" s="95" t="s">
        <v>98</v>
      </c>
      <c r="AR147" s="95" t="s">
        <v>98</v>
      </c>
      <c r="AS147" s="95" t="str">
        <f t="shared" si="55"/>
        <v>#VALUE!</v>
      </c>
      <c r="AT147" s="95" t="s">
        <v>98</v>
      </c>
      <c r="AU147" s="95" t="s">
        <v>98</v>
      </c>
      <c r="AV147" s="95" t="s">
        <v>98</v>
      </c>
      <c r="AW147" s="95" t="s">
        <v>98</v>
      </c>
      <c r="AX147" s="93" t="s">
        <v>472</v>
      </c>
      <c r="AY147" s="93" t="str">
        <f t="shared" si="54"/>
        <v>#REF!</v>
      </c>
      <c r="AZ147" s="95">
        <f t="shared" si="51"/>
        <v>46171</v>
      </c>
      <c r="BA147" s="95"/>
    </row>
    <row r="148" ht="30.75" customHeight="1">
      <c r="A148" s="130" t="s">
        <v>42</v>
      </c>
      <c r="B148" s="131" t="s">
        <v>43</v>
      </c>
      <c r="C148" s="132" t="s">
        <v>44</v>
      </c>
      <c r="D148" s="132" t="s">
        <v>45</v>
      </c>
      <c r="E148" s="133" t="s">
        <v>46</v>
      </c>
      <c r="F148" s="133" t="s">
        <v>47</v>
      </c>
      <c r="G148" s="132" t="s">
        <v>48</v>
      </c>
      <c r="H148" s="132" t="s">
        <v>49</v>
      </c>
      <c r="I148" s="134" t="s">
        <v>50</v>
      </c>
      <c r="J148" s="132" t="s">
        <v>51</v>
      </c>
      <c r="K148" s="133" t="s">
        <v>52</v>
      </c>
      <c r="L148" s="133" t="s">
        <v>53</v>
      </c>
      <c r="M148" s="133" t="s">
        <v>54</v>
      </c>
      <c r="N148" s="133" t="s">
        <v>55</v>
      </c>
      <c r="O148" s="132" t="s">
        <v>56</v>
      </c>
      <c r="P148" s="132" t="s">
        <v>599</v>
      </c>
      <c r="Q148" s="132" t="s">
        <v>600</v>
      </c>
      <c r="R148" s="132" t="s">
        <v>599</v>
      </c>
      <c r="S148" s="132" t="s">
        <v>600</v>
      </c>
      <c r="T148" s="132" t="s">
        <v>599</v>
      </c>
      <c r="U148" s="132" t="s">
        <v>600</v>
      </c>
      <c r="V148" s="132" t="s">
        <v>599</v>
      </c>
      <c r="W148" s="132" t="s">
        <v>600</v>
      </c>
      <c r="X148" s="132" t="s">
        <v>599</v>
      </c>
      <c r="Y148" s="132" t="s">
        <v>600</v>
      </c>
      <c r="Z148" s="132" t="s">
        <v>599</v>
      </c>
      <c r="AA148" s="132" t="s">
        <v>600</v>
      </c>
      <c r="AB148" s="132" t="s">
        <v>599</v>
      </c>
      <c r="AC148" s="132" t="s">
        <v>600</v>
      </c>
      <c r="AD148" s="132" t="s">
        <v>599</v>
      </c>
      <c r="AE148" s="132" t="s">
        <v>600</v>
      </c>
      <c r="AF148" s="132" t="s">
        <v>599</v>
      </c>
      <c r="AG148" s="132" t="s">
        <v>600</v>
      </c>
      <c r="AH148" s="132" t="s">
        <v>599</v>
      </c>
      <c r="AI148" s="132" t="s">
        <v>600</v>
      </c>
      <c r="AJ148" s="132" t="s">
        <v>599</v>
      </c>
      <c r="AK148" s="132" t="s">
        <v>600</v>
      </c>
      <c r="AL148" s="132" t="s">
        <v>599</v>
      </c>
      <c r="AM148" s="132" t="s">
        <v>600</v>
      </c>
      <c r="AN148" s="132" t="s">
        <v>599</v>
      </c>
      <c r="AO148" s="132" t="s">
        <v>600</v>
      </c>
      <c r="AP148" s="132" t="s">
        <v>70</v>
      </c>
      <c r="AQ148" s="132" t="s">
        <v>71</v>
      </c>
      <c r="AR148" s="132" t="s">
        <v>72</v>
      </c>
      <c r="AS148" s="132" t="s">
        <v>73</v>
      </c>
      <c r="AT148" s="132" t="s">
        <v>74</v>
      </c>
      <c r="AU148" s="132" t="s">
        <v>75</v>
      </c>
      <c r="AV148" s="132" t="s">
        <v>76</v>
      </c>
      <c r="AW148" s="132" t="s">
        <v>77</v>
      </c>
      <c r="AX148" s="132" t="s">
        <v>78</v>
      </c>
      <c r="AY148" s="132" t="s">
        <v>70</v>
      </c>
      <c r="AZ148" s="130" t="s">
        <v>79</v>
      </c>
      <c r="BA148" s="130" t="s">
        <v>80</v>
      </c>
    </row>
    <row r="149" ht="30.75" customHeight="1">
      <c r="A149" s="93"/>
      <c r="B149" s="94" t="s">
        <v>82</v>
      </c>
      <c r="C149" s="94" t="s">
        <v>83</v>
      </c>
      <c r="D149" s="94">
        <v>45.0</v>
      </c>
      <c r="E149" s="93" t="s">
        <v>84</v>
      </c>
      <c r="F149" s="93" t="s">
        <v>601</v>
      </c>
      <c r="G149" s="93" t="s">
        <v>86</v>
      </c>
      <c r="H149" s="93" t="s">
        <v>602</v>
      </c>
      <c r="I149" s="93"/>
      <c r="J149" s="93" t="s">
        <v>603</v>
      </c>
      <c r="K149" s="93" t="s">
        <v>310</v>
      </c>
      <c r="L149" s="93" t="s">
        <v>604</v>
      </c>
      <c r="M149" s="93" t="s">
        <v>98</v>
      </c>
      <c r="N149" s="93" t="s">
        <v>605</v>
      </c>
      <c r="O149" s="93" t="s">
        <v>606</v>
      </c>
      <c r="P149" s="93">
        <v>12.0</v>
      </c>
      <c r="Q149" s="93" t="s">
        <v>98</v>
      </c>
      <c r="R149" s="93" t="s">
        <v>98</v>
      </c>
      <c r="S149" s="93" t="s">
        <v>98</v>
      </c>
      <c r="T149" s="93" t="s">
        <v>98</v>
      </c>
      <c r="U149" s="93" t="s">
        <v>98</v>
      </c>
      <c r="V149" s="93" t="s">
        <v>98</v>
      </c>
      <c r="W149" s="93" t="s">
        <v>98</v>
      </c>
      <c r="X149" s="93" t="s">
        <v>98</v>
      </c>
      <c r="Y149" s="93" t="s">
        <v>98</v>
      </c>
      <c r="Z149" s="93" t="s">
        <v>98</v>
      </c>
      <c r="AA149" s="93" t="s">
        <v>98</v>
      </c>
      <c r="AB149" s="93" t="s">
        <v>98</v>
      </c>
      <c r="AC149" s="93" t="s">
        <v>98</v>
      </c>
      <c r="AD149" s="93" t="s">
        <v>98</v>
      </c>
      <c r="AE149" s="93" t="s">
        <v>98</v>
      </c>
      <c r="AF149" s="93" t="s">
        <v>98</v>
      </c>
      <c r="AG149" s="93" t="s">
        <v>98</v>
      </c>
      <c r="AH149" s="93" t="s">
        <v>98</v>
      </c>
      <c r="AI149" s="93" t="s">
        <v>98</v>
      </c>
      <c r="AJ149" s="93" t="s">
        <v>98</v>
      </c>
      <c r="AK149" s="93" t="s">
        <v>98</v>
      </c>
      <c r="AL149" s="93" t="s">
        <v>98</v>
      </c>
      <c r="AM149" s="93" t="s">
        <v>98</v>
      </c>
      <c r="AN149" s="93" t="s">
        <v>98</v>
      </c>
      <c r="AO149" s="93" t="s">
        <v>98</v>
      </c>
      <c r="AP149" s="93" t="str">
        <f t="shared" ref="AP149:AP152" si="56">#REF!</f>
        <v>#REF!</v>
      </c>
      <c r="AQ149" s="95" t="s">
        <v>98</v>
      </c>
      <c r="AR149" s="95" t="s">
        <v>98</v>
      </c>
      <c r="AS149" s="95" t="str">
        <f t="shared" ref="AS149:AS150" si="57">DATE(YEAR(AQ149),MONTH(AQ149)+P149,DAY(AQ149))</f>
        <v>#VALUE!</v>
      </c>
      <c r="AT149" s="95" t="s">
        <v>98</v>
      </c>
      <c r="AU149" s="95" t="s">
        <v>98</v>
      </c>
      <c r="AV149" s="95" t="s">
        <v>98</v>
      </c>
      <c r="AW149" s="95" t="s">
        <v>98</v>
      </c>
      <c r="AX149" s="93" t="s">
        <v>113</v>
      </c>
      <c r="AY149" s="93" t="str">
        <f t="shared" ref="AY149:AY164" si="58">#REF!</f>
        <v>#REF!</v>
      </c>
      <c r="AZ149" s="95"/>
      <c r="BA149" s="95"/>
    </row>
    <row r="150" ht="30.75" customHeight="1">
      <c r="A150" s="93"/>
      <c r="B150" s="94" t="s">
        <v>82</v>
      </c>
      <c r="C150" s="94" t="s">
        <v>83</v>
      </c>
      <c r="D150" s="94">
        <v>49.0</v>
      </c>
      <c r="E150" s="93" t="s">
        <v>84</v>
      </c>
      <c r="F150" s="93" t="s">
        <v>607</v>
      </c>
      <c r="G150" s="93" t="s">
        <v>86</v>
      </c>
      <c r="H150" s="93" t="s">
        <v>608</v>
      </c>
      <c r="I150" s="93" t="s">
        <v>88</v>
      </c>
      <c r="J150" s="93" t="s">
        <v>609</v>
      </c>
      <c r="K150" s="93" t="s">
        <v>610</v>
      </c>
      <c r="L150" s="93" t="s">
        <v>611</v>
      </c>
      <c r="M150" s="93">
        <v>7275057.0</v>
      </c>
      <c r="N150" s="93" t="s">
        <v>612</v>
      </c>
      <c r="O150" s="93" t="s">
        <v>606</v>
      </c>
      <c r="P150" s="93">
        <v>12.0</v>
      </c>
      <c r="Q150" s="93" t="s">
        <v>98</v>
      </c>
      <c r="R150" s="93" t="s">
        <v>98</v>
      </c>
      <c r="S150" s="93" t="s">
        <v>98</v>
      </c>
      <c r="T150" s="93" t="s">
        <v>98</v>
      </c>
      <c r="U150" s="93" t="s">
        <v>98</v>
      </c>
      <c r="V150" s="93" t="s">
        <v>98</v>
      </c>
      <c r="W150" s="93" t="s">
        <v>98</v>
      </c>
      <c r="X150" s="93" t="s">
        <v>98</v>
      </c>
      <c r="Y150" s="93" t="s">
        <v>98</v>
      </c>
      <c r="Z150" s="93" t="s">
        <v>98</v>
      </c>
      <c r="AA150" s="93" t="s">
        <v>98</v>
      </c>
      <c r="AB150" s="93" t="s">
        <v>98</v>
      </c>
      <c r="AC150" s="93" t="s">
        <v>98</v>
      </c>
      <c r="AD150" s="93" t="s">
        <v>98</v>
      </c>
      <c r="AE150" s="93" t="s">
        <v>98</v>
      </c>
      <c r="AF150" s="93" t="s">
        <v>98</v>
      </c>
      <c r="AG150" s="93" t="s">
        <v>98</v>
      </c>
      <c r="AH150" s="93" t="s">
        <v>98</v>
      </c>
      <c r="AI150" s="93" t="s">
        <v>98</v>
      </c>
      <c r="AJ150" s="93" t="s">
        <v>98</v>
      </c>
      <c r="AK150" s="93" t="s">
        <v>98</v>
      </c>
      <c r="AL150" s="93" t="s">
        <v>98</v>
      </c>
      <c r="AM150" s="93" t="s">
        <v>98</v>
      </c>
      <c r="AN150" s="93" t="s">
        <v>98</v>
      </c>
      <c r="AO150" s="93" t="s">
        <v>98</v>
      </c>
      <c r="AP150" s="93" t="str">
        <f t="shared" si="56"/>
        <v>#REF!</v>
      </c>
      <c r="AQ150" s="95" t="s">
        <v>98</v>
      </c>
      <c r="AR150" s="95" t="s">
        <v>98</v>
      </c>
      <c r="AS150" s="95" t="str">
        <f t="shared" si="57"/>
        <v>#VALUE!</v>
      </c>
      <c r="AT150" s="95" t="s">
        <v>98</v>
      </c>
      <c r="AU150" s="95" t="s">
        <v>98</v>
      </c>
      <c r="AV150" s="95" t="s">
        <v>98</v>
      </c>
      <c r="AW150" s="95" t="s">
        <v>98</v>
      </c>
      <c r="AX150" s="93" t="s">
        <v>113</v>
      </c>
      <c r="AY150" s="93" t="str">
        <f t="shared" si="58"/>
        <v>#REF!</v>
      </c>
      <c r="AZ150" s="95">
        <f t="shared" ref="AZ150:AZ187" si="59">TODAY()</f>
        <v>46171</v>
      </c>
      <c r="BA150" s="95"/>
    </row>
    <row r="151" ht="30.75" customHeight="1">
      <c r="A151" s="93"/>
      <c r="B151" s="94" t="s">
        <v>82</v>
      </c>
      <c r="C151" s="94" t="s">
        <v>83</v>
      </c>
      <c r="D151" s="93">
        <v>46.0</v>
      </c>
      <c r="E151" s="93" t="s">
        <v>84</v>
      </c>
      <c r="F151" s="93" t="s">
        <v>613</v>
      </c>
      <c r="G151" s="93" t="s">
        <v>86</v>
      </c>
      <c r="H151" s="93" t="s">
        <v>614</v>
      </c>
      <c r="I151" s="93" t="s">
        <v>88</v>
      </c>
      <c r="J151" s="93" t="s">
        <v>609</v>
      </c>
      <c r="K151" s="93" t="s">
        <v>615</v>
      </c>
      <c r="L151" s="93" t="s">
        <v>616</v>
      </c>
      <c r="M151" s="96" t="s">
        <v>617</v>
      </c>
      <c r="N151" s="93" t="s">
        <v>618</v>
      </c>
      <c r="O151" s="93" t="s">
        <v>606</v>
      </c>
      <c r="P151" s="93">
        <v>12.0</v>
      </c>
      <c r="Q151" s="93">
        <v>1.0</v>
      </c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>
        <v>1.0</v>
      </c>
      <c r="AC151" s="93">
        <v>1.0</v>
      </c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 t="str">
        <f t="shared" si="56"/>
        <v>#REF!</v>
      </c>
      <c r="AQ151" s="95" t="s">
        <v>95</v>
      </c>
      <c r="AR151" s="95" t="s">
        <v>95</v>
      </c>
      <c r="AS151" s="95" t="s">
        <v>96</v>
      </c>
      <c r="AT151" s="93" t="s">
        <v>619</v>
      </c>
      <c r="AU151" s="93" t="s">
        <v>620</v>
      </c>
      <c r="AV151" s="93" t="s">
        <v>98</v>
      </c>
      <c r="AW151" s="93" t="s">
        <v>620</v>
      </c>
      <c r="AX151" s="95" t="s">
        <v>99</v>
      </c>
      <c r="AY151" s="93" t="str">
        <f t="shared" si="58"/>
        <v>#REF!</v>
      </c>
      <c r="AZ151" s="95">
        <f t="shared" si="59"/>
        <v>46171</v>
      </c>
      <c r="BA151" s="95"/>
    </row>
    <row r="152" ht="30.75" customHeight="1">
      <c r="A152" s="93"/>
      <c r="B152" s="94" t="s">
        <v>82</v>
      </c>
      <c r="C152" s="94" t="s">
        <v>83</v>
      </c>
      <c r="D152" s="93">
        <v>48.0</v>
      </c>
      <c r="E152" s="93" t="s">
        <v>84</v>
      </c>
      <c r="F152" s="93" t="s">
        <v>621</v>
      </c>
      <c r="G152" s="93" t="s">
        <v>86</v>
      </c>
      <c r="H152" s="93" t="s">
        <v>622</v>
      </c>
      <c r="I152" s="93" t="s">
        <v>88</v>
      </c>
      <c r="J152" s="93" t="s">
        <v>609</v>
      </c>
      <c r="K152" s="93" t="s">
        <v>615</v>
      </c>
      <c r="L152" s="93" t="s">
        <v>616</v>
      </c>
      <c r="M152" s="93">
        <v>8.0700457E7</v>
      </c>
      <c r="N152" s="93" t="s">
        <v>618</v>
      </c>
      <c r="O152" s="93" t="s">
        <v>606</v>
      </c>
      <c r="P152" s="93">
        <v>12.0</v>
      </c>
      <c r="Q152" s="93">
        <v>1.0</v>
      </c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>
        <v>1.0</v>
      </c>
      <c r="AC152" s="93">
        <v>1.0</v>
      </c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 t="str">
        <f t="shared" si="56"/>
        <v>#REF!</v>
      </c>
      <c r="AQ152" s="95" t="s">
        <v>95</v>
      </c>
      <c r="AR152" s="95" t="s">
        <v>95</v>
      </c>
      <c r="AS152" s="95" t="s">
        <v>96</v>
      </c>
      <c r="AT152" s="93" t="s">
        <v>623</v>
      </c>
      <c r="AU152" s="93" t="s">
        <v>624</v>
      </c>
      <c r="AV152" s="93" t="s">
        <v>98</v>
      </c>
      <c r="AW152" s="93" t="s">
        <v>624</v>
      </c>
      <c r="AX152" s="95" t="s">
        <v>99</v>
      </c>
      <c r="AY152" s="93" t="str">
        <f t="shared" si="58"/>
        <v>#REF!</v>
      </c>
      <c r="AZ152" s="95">
        <f t="shared" si="59"/>
        <v>46171</v>
      </c>
      <c r="BA152" s="95"/>
    </row>
    <row r="153" ht="30.75" customHeight="1">
      <c r="A153" s="93"/>
      <c r="B153" s="94"/>
      <c r="C153" s="93" t="s">
        <v>206</v>
      </c>
      <c r="D153" s="93">
        <v>1.0</v>
      </c>
      <c r="E153" s="93" t="s">
        <v>336</v>
      </c>
      <c r="F153" s="93" t="s">
        <v>98</v>
      </c>
      <c r="G153" s="93" t="s">
        <v>86</v>
      </c>
      <c r="H153" s="93" t="s">
        <v>625</v>
      </c>
      <c r="I153" s="93" t="s">
        <v>118</v>
      </c>
      <c r="J153" s="93" t="s">
        <v>626</v>
      </c>
      <c r="K153" s="93" t="s">
        <v>627</v>
      </c>
      <c r="L153" s="93" t="s">
        <v>628</v>
      </c>
      <c r="M153" s="93" t="s">
        <v>629</v>
      </c>
      <c r="N153" s="93" t="s">
        <v>123</v>
      </c>
      <c r="O153" s="93" t="s">
        <v>124</v>
      </c>
      <c r="P153" s="93">
        <v>4.0</v>
      </c>
      <c r="Q153" s="93" t="s">
        <v>98</v>
      </c>
      <c r="R153" s="93"/>
      <c r="S153" s="93"/>
      <c r="T153" s="93"/>
      <c r="U153" s="93"/>
      <c r="V153" s="93"/>
      <c r="W153" s="93"/>
      <c r="X153" s="93"/>
      <c r="Y153" s="93"/>
      <c r="Z153" s="93">
        <v>1.0</v>
      </c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>
        <v>1.0</v>
      </c>
      <c r="AM153" s="93"/>
      <c r="AN153" s="93"/>
      <c r="AO153" s="93"/>
      <c r="AP153" s="93"/>
      <c r="AQ153" s="93" t="s">
        <v>214</v>
      </c>
      <c r="AR153" s="93" t="s">
        <v>214</v>
      </c>
      <c r="AS153" s="95" t="str">
        <f t="shared" ref="AS153:AS155" si="60">DATE(YEAR(AQ153),MONTH(AQ153)+Q153,DAY(AQ153))</f>
        <v>#VALUE!</v>
      </c>
      <c r="AT153" s="93"/>
      <c r="AU153" s="103"/>
      <c r="AV153" s="93"/>
      <c r="AW153" s="103"/>
      <c r="AX153" s="93"/>
      <c r="AY153" s="93" t="str">
        <f t="shared" si="58"/>
        <v>#REF!</v>
      </c>
      <c r="AZ153" s="95">
        <f t="shared" si="59"/>
        <v>46171</v>
      </c>
      <c r="BA153" s="93"/>
    </row>
    <row r="154" ht="30.75" customHeight="1">
      <c r="A154" s="93"/>
      <c r="B154" s="94"/>
      <c r="C154" s="93" t="s">
        <v>206</v>
      </c>
      <c r="D154" s="93">
        <v>2.0</v>
      </c>
      <c r="E154" s="93" t="s">
        <v>336</v>
      </c>
      <c r="F154" s="93" t="s">
        <v>98</v>
      </c>
      <c r="G154" s="93" t="s">
        <v>86</v>
      </c>
      <c r="H154" s="93" t="s">
        <v>630</v>
      </c>
      <c r="I154" s="93" t="s">
        <v>118</v>
      </c>
      <c r="J154" s="93" t="s">
        <v>631</v>
      </c>
      <c r="K154" s="93" t="s">
        <v>627</v>
      </c>
      <c r="L154" s="93" t="s">
        <v>632</v>
      </c>
      <c r="M154" s="93" t="s">
        <v>629</v>
      </c>
      <c r="N154" s="93" t="s">
        <v>123</v>
      </c>
      <c r="O154" s="93" t="s">
        <v>124</v>
      </c>
      <c r="P154" s="93">
        <v>3.0</v>
      </c>
      <c r="Q154" s="93" t="s">
        <v>98</v>
      </c>
      <c r="R154" s="93"/>
      <c r="S154" s="93"/>
      <c r="T154" s="93">
        <v>1.0</v>
      </c>
      <c r="U154" s="93"/>
      <c r="V154" s="93"/>
      <c r="W154" s="93"/>
      <c r="X154" s="93"/>
      <c r="Y154" s="93"/>
      <c r="Z154" s="93">
        <v>1.0</v>
      </c>
      <c r="AA154" s="93"/>
      <c r="AB154" s="93"/>
      <c r="AC154" s="93"/>
      <c r="AD154" s="93"/>
      <c r="AE154" s="93"/>
      <c r="AF154" s="93">
        <v>1.0</v>
      </c>
      <c r="AG154" s="93"/>
      <c r="AH154" s="93"/>
      <c r="AI154" s="93"/>
      <c r="AJ154" s="93"/>
      <c r="AK154" s="93"/>
      <c r="AL154" s="93">
        <v>1.0</v>
      </c>
      <c r="AM154" s="93"/>
      <c r="AN154" s="93"/>
      <c r="AO154" s="93"/>
      <c r="AP154" s="93"/>
      <c r="AQ154" s="93" t="s">
        <v>214</v>
      </c>
      <c r="AR154" s="93" t="s">
        <v>214</v>
      </c>
      <c r="AS154" s="95" t="str">
        <f t="shared" si="60"/>
        <v>#VALUE!</v>
      </c>
      <c r="AT154" s="93"/>
      <c r="AU154" s="103"/>
      <c r="AV154" s="93"/>
      <c r="AW154" s="103"/>
      <c r="AX154" s="93"/>
      <c r="AY154" s="93" t="str">
        <f t="shared" si="58"/>
        <v>#REF!</v>
      </c>
      <c r="AZ154" s="95">
        <f t="shared" si="59"/>
        <v>46171</v>
      </c>
      <c r="BA154" s="93"/>
    </row>
    <row r="155" ht="30.75" customHeight="1">
      <c r="A155" s="93"/>
      <c r="B155" s="94"/>
      <c r="C155" s="93" t="s">
        <v>206</v>
      </c>
      <c r="D155" s="93">
        <v>3.0</v>
      </c>
      <c r="E155" s="93" t="s">
        <v>336</v>
      </c>
      <c r="F155" s="93" t="s">
        <v>98</v>
      </c>
      <c r="G155" s="93" t="s">
        <v>86</v>
      </c>
      <c r="H155" s="93" t="s">
        <v>633</v>
      </c>
      <c r="I155" s="93" t="s">
        <v>118</v>
      </c>
      <c r="J155" s="93" t="s">
        <v>634</v>
      </c>
      <c r="K155" s="93" t="s">
        <v>635</v>
      </c>
      <c r="L155" s="93" t="s">
        <v>636</v>
      </c>
      <c r="M155" s="93" t="s">
        <v>637</v>
      </c>
      <c r="N155" s="93" t="s">
        <v>638</v>
      </c>
      <c r="O155" s="93" t="s">
        <v>124</v>
      </c>
      <c r="P155" s="93">
        <v>4.0</v>
      </c>
      <c r="Q155" s="93" t="s">
        <v>98</v>
      </c>
      <c r="R155" s="93"/>
      <c r="S155" s="93"/>
      <c r="T155" s="93"/>
      <c r="U155" s="93"/>
      <c r="V155" s="93">
        <v>1.0</v>
      </c>
      <c r="W155" s="93"/>
      <c r="X155" s="93"/>
      <c r="Y155" s="93"/>
      <c r="Z155" s="93"/>
      <c r="AA155" s="93"/>
      <c r="AB155" s="93">
        <v>1.0</v>
      </c>
      <c r="AC155" s="93"/>
      <c r="AD155" s="93"/>
      <c r="AE155" s="93"/>
      <c r="AF155" s="93"/>
      <c r="AG155" s="93"/>
      <c r="AH155" s="93">
        <v>1.0</v>
      </c>
      <c r="AI155" s="93"/>
      <c r="AJ155" s="93"/>
      <c r="AK155" s="93"/>
      <c r="AL155" s="93"/>
      <c r="AM155" s="93"/>
      <c r="AN155" s="93">
        <v>1.0</v>
      </c>
      <c r="AO155" s="93"/>
      <c r="AP155" s="93"/>
      <c r="AQ155" s="93" t="s">
        <v>214</v>
      </c>
      <c r="AR155" s="93" t="s">
        <v>125</v>
      </c>
      <c r="AS155" s="95" t="str">
        <f t="shared" si="60"/>
        <v>#VALUE!</v>
      </c>
      <c r="AT155" s="93"/>
      <c r="AU155" s="103"/>
      <c r="AV155" s="93"/>
      <c r="AW155" s="103"/>
      <c r="AX155" s="93"/>
      <c r="AY155" s="93" t="str">
        <f t="shared" si="58"/>
        <v>#REF!</v>
      </c>
      <c r="AZ155" s="95">
        <f t="shared" si="59"/>
        <v>46171</v>
      </c>
      <c r="BA155" s="93"/>
    </row>
    <row r="156" ht="30.75" customHeight="1">
      <c r="A156" s="93"/>
      <c r="B156" s="94" t="s">
        <v>82</v>
      </c>
      <c r="C156" s="94" t="s">
        <v>83</v>
      </c>
      <c r="D156" s="94">
        <v>47.0</v>
      </c>
      <c r="E156" s="93" t="s">
        <v>84</v>
      </c>
      <c r="F156" s="93" t="s">
        <v>639</v>
      </c>
      <c r="G156" s="93" t="s">
        <v>86</v>
      </c>
      <c r="H156" s="93" t="s">
        <v>640</v>
      </c>
      <c r="I156" s="93" t="s">
        <v>88</v>
      </c>
      <c r="J156" s="93" t="s">
        <v>609</v>
      </c>
      <c r="K156" s="93" t="s">
        <v>615</v>
      </c>
      <c r="L156" s="93" t="s">
        <v>616</v>
      </c>
      <c r="M156" s="93">
        <v>8.1000695E7</v>
      </c>
      <c r="N156" s="93" t="s">
        <v>618</v>
      </c>
      <c r="O156" s="93" t="s">
        <v>606</v>
      </c>
      <c r="P156" s="93">
        <v>12.0</v>
      </c>
      <c r="Q156" s="93">
        <v>1.0</v>
      </c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>
        <v>1.0</v>
      </c>
      <c r="AC156" s="93">
        <v>1.0</v>
      </c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 t="str">
        <f t="shared" ref="AP156:AP164" si="61">#REF!</f>
        <v>#REF!</v>
      </c>
      <c r="AQ156" s="95" t="s">
        <v>95</v>
      </c>
      <c r="AR156" s="95" t="s">
        <v>95</v>
      </c>
      <c r="AS156" s="95" t="s">
        <v>96</v>
      </c>
      <c r="AT156" s="93" t="s">
        <v>641</v>
      </c>
      <c r="AU156" s="93" t="s">
        <v>642</v>
      </c>
      <c r="AV156" s="93" t="s">
        <v>98</v>
      </c>
      <c r="AW156" s="93" t="s">
        <v>642</v>
      </c>
      <c r="AX156" s="95" t="s">
        <v>99</v>
      </c>
      <c r="AY156" s="93" t="str">
        <f t="shared" si="58"/>
        <v>#REF!</v>
      </c>
      <c r="AZ156" s="95">
        <f t="shared" si="59"/>
        <v>46171</v>
      </c>
      <c r="BA156" s="95"/>
    </row>
    <row r="157" ht="30.75" customHeight="1">
      <c r="A157" s="93" t="s">
        <v>176</v>
      </c>
      <c r="B157" s="94" t="s">
        <v>107</v>
      </c>
      <c r="C157" s="94" t="s">
        <v>83</v>
      </c>
      <c r="D157" s="93">
        <v>6.0</v>
      </c>
      <c r="E157" s="93" t="s">
        <v>173</v>
      </c>
      <c r="F157" s="93" t="s">
        <v>643</v>
      </c>
      <c r="G157" s="93" t="s">
        <v>86</v>
      </c>
      <c r="H157" s="93" t="s">
        <v>644</v>
      </c>
      <c r="I157" s="93" t="s">
        <v>88</v>
      </c>
      <c r="J157" s="93" t="s">
        <v>645</v>
      </c>
      <c r="K157" s="93" t="s">
        <v>646</v>
      </c>
      <c r="L157" s="93" t="s">
        <v>98</v>
      </c>
      <c r="M157" s="93" t="s">
        <v>98</v>
      </c>
      <c r="N157" s="93" t="s">
        <v>98</v>
      </c>
      <c r="O157" s="93" t="s">
        <v>647</v>
      </c>
      <c r="P157" s="93">
        <v>12.0</v>
      </c>
      <c r="Q157" s="93" t="s">
        <v>98</v>
      </c>
      <c r="R157" s="93" t="s">
        <v>98</v>
      </c>
      <c r="S157" s="93" t="s">
        <v>98</v>
      </c>
      <c r="T157" s="93" t="s">
        <v>98</v>
      </c>
      <c r="U157" s="93" t="s">
        <v>98</v>
      </c>
      <c r="V157" s="93" t="s">
        <v>98</v>
      </c>
      <c r="W157" s="93" t="s">
        <v>98</v>
      </c>
      <c r="X157" s="93" t="s">
        <v>98</v>
      </c>
      <c r="Y157" s="93" t="s">
        <v>98</v>
      </c>
      <c r="Z157" s="93" t="s">
        <v>98</v>
      </c>
      <c r="AA157" s="93" t="s">
        <v>98</v>
      </c>
      <c r="AB157" s="93" t="s">
        <v>98</v>
      </c>
      <c r="AC157" s="93" t="s">
        <v>98</v>
      </c>
      <c r="AD157" s="93" t="s">
        <v>98</v>
      </c>
      <c r="AE157" s="93" t="s">
        <v>98</v>
      </c>
      <c r="AF157" s="93" t="s">
        <v>98</v>
      </c>
      <c r="AG157" s="93" t="s">
        <v>98</v>
      </c>
      <c r="AH157" s="93" t="s">
        <v>98</v>
      </c>
      <c r="AI157" s="93" t="s">
        <v>98</v>
      </c>
      <c r="AJ157" s="93" t="s">
        <v>98</v>
      </c>
      <c r="AK157" s="93" t="s">
        <v>98</v>
      </c>
      <c r="AL157" s="93" t="s">
        <v>98</v>
      </c>
      <c r="AM157" s="93" t="s">
        <v>98</v>
      </c>
      <c r="AN157" s="93" t="s">
        <v>98</v>
      </c>
      <c r="AO157" s="93" t="s">
        <v>98</v>
      </c>
      <c r="AP157" s="93" t="str">
        <f t="shared" si="61"/>
        <v>#REF!</v>
      </c>
      <c r="AQ157" s="95" t="s">
        <v>98</v>
      </c>
      <c r="AR157" s="95" t="s">
        <v>98</v>
      </c>
      <c r="AS157" s="95" t="str">
        <f t="shared" ref="AS157:AS164" si="62">DATE(YEAR(AQ157),MONTH(AQ157)+P157,DAY(AQ157))</f>
        <v>#VALUE!</v>
      </c>
      <c r="AT157" s="95" t="s">
        <v>98</v>
      </c>
      <c r="AU157" s="95" t="s">
        <v>98</v>
      </c>
      <c r="AV157" s="95" t="s">
        <v>98</v>
      </c>
      <c r="AW157" s="95" t="s">
        <v>98</v>
      </c>
      <c r="AX157" s="93" t="s">
        <v>113</v>
      </c>
      <c r="AY157" s="93" t="str">
        <f t="shared" si="58"/>
        <v>#REF!</v>
      </c>
      <c r="AZ157" s="95">
        <f t="shared" si="59"/>
        <v>46171</v>
      </c>
      <c r="BA157" s="95"/>
    </row>
    <row r="158" ht="30.75" customHeight="1">
      <c r="A158" s="97" t="s">
        <v>114</v>
      </c>
      <c r="B158" s="94"/>
      <c r="C158" s="99" t="s">
        <v>83</v>
      </c>
      <c r="D158" s="97">
        <v>12.0</v>
      </c>
      <c r="E158" s="100" t="s">
        <v>108</v>
      </c>
      <c r="F158" s="97" t="s">
        <v>98</v>
      </c>
      <c r="G158" s="97" t="s">
        <v>86</v>
      </c>
      <c r="H158" s="97" t="s">
        <v>648</v>
      </c>
      <c r="I158" s="97" t="s">
        <v>88</v>
      </c>
      <c r="J158" s="97" t="s">
        <v>649</v>
      </c>
      <c r="K158" s="97" t="s">
        <v>650</v>
      </c>
      <c r="L158" s="97" t="s">
        <v>651</v>
      </c>
      <c r="M158" s="97">
        <v>56116.0</v>
      </c>
      <c r="N158" s="100" t="s">
        <v>98</v>
      </c>
      <c r="O158" s="97" t="s">
        <v>652</v>
      </c>
      <c r="P158" s="100">
        <v>12.0</v>
      </c>
      <c r="Q158" s="100">
        <v>1.0</v>
      </c>
      <c r="R158" s="97"/>
      <c r="S158" s="97"/>
      <c r="T158" s="97"/>
      <c r="U158" s="97"/>
      <c r="V158" s="97">
        <v>1.0</v>
      </c>
      <c r="W158" s="97">
        <v>1.0</v>
      </c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 t="str">
        <f t="shared" si="61"/>
        <v>#REF!</v>
      </c>
      <c r="AQ158" s="101">
        <v>45000.0</v>
      </c>
      <c r="AR158" s="101">
        <v>45000.0</v>
      </c>
      <c r="AS158" s="101">
        <f t="shared" si="62"/>
        <v>45366</v>
      </c>
      <c r="AT158" s="135" t="s">
        <v>653</v>
      </c>
      <c r="AU158" s="101" t="s">
        <v>98</v>
      </c>
      <c r="AV158" s="101" t="s">
        <v>98</v>
      </c>
      <c r="AW158" s="101" t="s">
        <v>98</v>
      </c>
      <c r="AX158" s="101" t="s">
        <v>99</v>
      </c>
      <c r="AY158" s="97" t="str">
        <f t="shared" si="58"/>
        <v>#REF!</v>
      </c>
      <c r="AZ158" s="101">
        <f t="shared" si="59"/>
        <v>46171</v>
      </c>
      <c r="BA158" s="101"/>
    </row>
    <row r="159" ht="30.75" customHeight="1">
      <c r="A159" s="97" t="s">
        <v>114</v>
      </c>
      <c r="B159" s="94"/>
      <c r="C159" s="99" t="s">
        <v>83</v>
      </c>
      <c r="D159" s="97">
        <v>13.0</v>
      </c>
      <c r="E159" s="100" t="s">
        <v>108</v>
      </c>
      <c r="F159" s="97" t="s">
        <v>98</v>
      </c>
      <c r="G159" s="97" t="s">
        <v>86</v>
      </c>
      <c r="H159" s="97" t="s">
        <v>654</v>
      </c>
      <c r="I159" s="97" t="s">
        <v>88</v>
      </c>
      <c r="J159" s="97" t="s">
        <v>649</v>
      </c>
      <c r="K159" s="97" t="s">
        <v>650</v>
      </c>
      <c r="L159" s="97" t="s">
        <v>651</v>
      </c>
      <c r="M159" s="97">
        <v>56117.0</v>
      </c>
      <c r="N159" s="100" t="s">
        <v>98</v>
      </c>
      <c r="O159" s="97" t="s">
        <v>652</v>
      </c>
      <c r="P159" s="100">
        <v>12.0</v>
      </c>
      <c r="Q159" s="100">
        <v>1.0</v>
      </c>
      <c r="R159" s="97"/>
      <c r="S159" s="97"/>
      <c r="T159" s="97"/>
      <c r="U159" s="97"/>
      <c r="V159" s="97">
        <v>1.0</v>
      </c>
      <c r="W159" s="97">
        <v>1.0</v>
      </c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 t="str">
        <f t="shared" si="61"/>
        <v>#REF!</v>
      </c>
      <c r="AQ159" s="101">
        <v>45000.0</v>
      </c>
      <c r="AR159" s="101">
        <v>45000.0</v>
      </c>
      <c r="AS159" s="101">
        <f t="shared" si="62"/>
        <v>45366</v>
      </c>
      <c r="AT159" s="135" t="s">
        <v>655</v>
      </c>
      <c r="AU159" s="101" t="s">
        <v>98</v>
      </c>
      <c r="AV159" s="101" t="s">
        <v>98</v>
      </c>
      <c r="AW159" s="101" t="s">
        <v>98</v>
      </c>
      <c r="AX159" s="101" t="s">
        <v>99</v>
      </c>
      <c r="AY159" s="97" t="str">
        <f t="shared" si="58"/>
        <v>#REF!</v>
      </c>
      <c r="AZ159" s="101">
        <f t="shared" si="59"/>
        <v>46171</v>
      </c>
      <c r="BA159" s="101"/>
    </row>
    <row r="160" ht="30.75" customHeight="1">
      <c r="A160" s="97" t="s">
        <v>114</v>
      </c>
      <c r="B160" s="94"/>
      <c r="C160" s="99" t="s">
        <v>83</v>
      </c>
      <c r="D160" s="97">
        <v>14.0</v>
      </c>
      <c r="E160" s="100" t="s">
        <v>108</v>
      </c>
      <c r="F160" s="97" t="s">
        <v>98</v>
      </c>
      <c r="G160" s="97" t="s">
        <v>86</v>
      </c>
      <c r="H160" s="97" t="s">
        <v>656</v>
      </c>
      <c r="I160" s="97" t="s">
        <v>88</v>
      </c>
      <c r="J160" s="97" t="s">
        <v>649</v>
      </c>
      <c r="K160" s="97" t="s">
        <v>650</v>
      </c>
      <c r="L160" s="97" t="s">
        <v>651</v>
      </c>
      <c r="M160" s="97">
        <v>56118.0</v>
      </c>
      <c r="N160" s="100" t="s">
        <v>98</v>
      </c>
      <c r="O160" s="97" t="s">
        <v>652</v>
      </c>
      <c r="P160" s="100">
        <v>12.0</v>
      </c>
      <c r="Q160" s="100">
        <v>1.0</v>
      </c>
      <c r="R160" s="97"/>
      <c r="S160" s="97"/>
      <c r="T160" s="97"/>
      <c r="U160" s="97"/>
      <c r="V160" s="97">
        <v>1.0</v>
      </c>
      <c r="W160" s="97">
        <v>1.0</v>
      </c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 t="str">
        <f t="shared" si="61"/>
        <v>#REF!</v>
      </c>
      <c r="AQ160" s="101">
        <v>45000.0</v>
      </c>
      <c r="AR160" s="101">
        <v>45000.0</v>
      </c>
      <c r="AS160" s="101">
        <f t="shared" si="62"/>
        <v>45366</v>
      </c>
      <c r="AT160" s="135" t="s">
        <v>657</v>
      </c>
      <c r="AU160" s="101" t="s">
        <v>98</v>
      </c>
      <c r="AV160" s="101" t="s">
        <v>98</v>
      </c>
      <c r="AW160" s="101" t="s">
        <v>98</v>
      </c>
      <c r="AX160" s="101" t="s">
        <v>99</v>
      </c>
      <c r="AY160" s="97" t="str">
        <f t="shared" si="58"/>
        <v>#REF!</v>
      </c>
      <c r="AZ160" s="101">
        <f t="shared" si="59"/>
        <v>46171</v>
      </c>
      <c r="BA160" s="101"/>
    </row>
    <row r="161" ht="30.75" customHeight="1">
      <c r="A161" s="93" t="s">
        <v>81</v>
      </c>
      <c r="B161" s="94" t="s">
        <v>82</v>
      </c>
      <c r="C161" s="110" t="s">
        <v>83</v>
      </c>
      <c r="D161" s="93">
        <v>15.0</v>
      </c>
      <c r="E161" s="111" t="s">
        <v>108</v>
      </c>
      <c r="F161" s="93" t="s">
        <v>98</v>
      </c>
      <c r="G161" s="93" t="s">
        <v>86</v>
      </c>
      <c r="H161" s="93" t="s">
        <v>658</v>
      </c>
      <c r="I161" s="93" t="s">
        <v>88</v>
      </c>
      <c r="J161" s="93" t="s">
        <v>649</v>
      </c>
      <c r="K161" s="93" t="s">
        <v>650</v>
      </c>
      <c r="L161" s="93" t="s">
        <v>659</v>
      </c>
      <c r="M161" s="93">
        <v>56115.0</v>
      </c>
      <c r="N161" s="111" t="s">
        <v>98</v>
      </c>
      <c r="O161" s="93" t="s">
        <v>652</v>
      </c>
      <c r="P161" s="111">
        <v>12.0</v>
      </c>
      <c r="Q161" s="111">
        <v>1.0</v>
      </c>
      <c r="R161" s="93"/>
      <c r="S161" s="93"/>
      <c r="T161" s="93"/>
      <c r="U161" s="93"/>
      <c r="V161" s="93">
        <v>1.0</v>
      </c>
      <c r="W161" s="93">
        <v>1.0</v>
      </c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 t="str">
        <f t="shared" si="61"/>
        <v>#REF!</v>
      </c>
      <c r="AQ161" s="95">
        <v>45000.0</v>
      </c>
      <c r="AR161" s="95">
        <v>45000.0</v>
      </c>
      <c r="AS161" s="95">
        <f t="shared" si="62"/>
        <v>45366</v>
      </c>
      <c r="AT161" s="96" t="s">
        <v>660</v>
      </c>
      <c r="AU161" s="95" t="s">
        <v>98</v>
      </c>
      <c r="AV161" s="95" t="s">
        <v>98</v>
      </c>
      <c r="AW161" s="95" t="s">
        <v>98</v>
      </c>
      <c r="AX161" s="95" t="s">
        <v>99</v>
      </c>
      <c r="AY161" s="93" t="str">
        <f t="shared" si="58"/>
        <v>#REF!</v>
      </c>
      <c r="AZ161" s="95">
        <f t="shared" si="59"/>
        <v>46171</v>
      </c>
      <c r="BA161" s="95"/>
    </row>
    <row r="162" ht="30.75" customHeight="1">
      <c r="A162" s="93" t="s">
        <v>81</v>
      </c>
      <c r="B162" s="94" t="s">
        <v>82</v>
      </c>
      <c r="C162" s="110" t="s">
        <v>83</v>
      </c>
      <c r="D162" s="93">
        <v>16.0</v>
      </c>
      <c r="E162" s="111" t="s">
        <v>108</v>
      </c>
      <c r="F162" s="93" t="s">
        <v>98</v>
      </c>
      <c r="G162" s="93" t="s">
        <v>86</v>
      </c>
      <c r="H162" s="93" t="s">
        <v>661</v>
      </c>
      <c r="I162" s="93" t="s">
        <v>88</v>
      </c>
      <c r="J162" s="93" t="s">
        <v>649</v>
      </c>
      <c r="K162" s="93" t="s">
        <v>650</v>
      </c>
      <c r="L162" s="93" t="s">
        <v>659</v>
      </c>
      <c r="M162" s="93">
        <v>56114.0</v>
      </c>
      <c r="N162" s="111" t="s">
        <v>98</v>
      </c>
      <c r="O162" s="93" t="s">
        <v>652</v>
      </c>
      <c r="P162" s="111">
        <v>12.0</v>
      </c>
      <c r="Q162" s="111">
        <v>1.0</v>
      </c>
      <c r="R162" s="93"/>
      <c r="S162" s="93"/>
      <c r="T162" s="93"/>
      <c r="U162" s="93"/>
      <c r="V162" s="93">
        <v>1.0</v>
      </c>
      <c r="W162" s="93">
        <v>1.0</v>
      </c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 t="str">
        <f t="shared" si="61"/>
        <v>#REF!</v>
      </c>
      <c r="AQ162" s="95">
        <v>45000.0</v>
      </c>
      <c r="AR162" s="95">
        <v>45000.0</v>
      </c>
      <c r="AS162" s="95">
        <f t="shared" si="62"/>
        <v>45366</v>
      </c>
      <c r="AT162" s="96" t="s">
        <v>662</v>
      </c>
      <c r="AU162" s="95" t="s">
        <v>98</v>
      </c>
      <c r="AV162" s="95" t="s">
        <v>98</v>
      </c>
      <c r="AW162" s="95" t="s">
        <v>98</v>
      </c>
      <c r="AX162" s="95" t="s">
        <v>99</v>
      </c>
      <c r="AY162" s="93" t="str">
        <f t="shared" si="58"/>
        <v>#REF!</v>
      </c>
      <c r="AZ162" s="95">
        <f t="shared" si="59"/>
        <v>46171</v>
      </c>
      <c r="BA162" s="95"/>
    </row>
    <row r="163" ht="30.75" customHeight="1">
      <c r="A163" s="93"/>
      <c r="B163" s="94" t="s">
        <v>82</v>
      </c>
      <c r="C163" s="94" t="s">
        <v>83</v>
      </c>
      <c r="D163" s="93">
        <v>50.0</v>
      </c>
      <c r="E163" s="93" t="s">
        <v>84</v>
      </c>
      <c r="F163" s="93" t="s">
        <v>663</v>
      </c>
      <c r="G163" s="93" t="s">
        <v>86</v>
      </c>
      <c r="H163" s="93" t="s">
        <v>664</v>
      </c>
      <c r="I163" s="93" t="s">
        <v>88</v>
      </c>
      <c r="J163" s="93" t="s">
        <v>665</v>
      </c>
      <c r="K163" s="93" t="s">
        <v>666</v>
      </c>
      <c r="L163" s="93" t="s">
        <v>667</v>
      </c>
      <c r="M163" s="93" t="s">
        <v>668</v>
      </c>
      <c r="N163" s="93" t="s">
        <v>669</v>
      </c>
      <c r="O163" s="93" t="s">
        <v>670</v>
      </c>
      <c r="P163" s="93">
        <v>12.0</v>
      </c>
      <c r="Q163" s="93" t="s">
        <v>98</v>
      </c>
      <c r="R163" s="93" t="s">
        <v>98</v>
      </c>
      <c r="S163" s="93" t="s">
        <v>98</v>
      </c>
      <c r="T163" s="93" t="s">
        <v>98</v>
      </c>
      <c r="U163" s="93" t="s">
        <v>98</v>
      </c>
      <c r="V163" s="93" t="s">
        <v>98</v>
      </c>
      <c r="W163" s="93" t="s">
        <v>98</v>
      </c>
      <c r="X163" s="93" t="s">
        <v>98</v>
      </c>
      <c r="Y163" s="93" t="s">
        <v>98</v>
      </c>
      <c r="Z163" s="93" t="s">
        <v>98</v>
      </c>
      <c r="AA163" s="93" t="s">
        <v>98</v>
      </c>
      <c r="AB163" s="93" t="s">
        <v>98</v>
      </c>
      <c r="AC163" s="93" t="s">
        <v>98</v>
      </c>
      <c r="AD163" s="93" t="s">
        <v>98</v>
      </c>
      <c r="AE163" s="93" t="s">
        <v>98</v>
      </c>
      <c r="AF163" s="93" t="s">
        <v>98</v>
      </c>
      <c r="AG163" s="93" t="s">
        <v>98</v>
      </c>
      <c r="AH163" s="93" t="s">
        <v>98</v>
      </c>
      <c r="AI163" s="93" t="s">
        <v>98</v>
      </c>
      <c r="AJ163" s="93" t="s">
        <v>98</v>
      </c>
      <c r="AK163" s="93" t="s">
        <v>98</v>
      </c>
      <c r="AL163" s="93" t="s">
        <v>98</v>
      </c>
      <c r="AM163" s="93" t="s">
        <v>98</v>
      </c>
      <c r="AN163" s="93" t="s">
        <v>98</v>
      </c>
      <c r="AO163" s="93" t="s">
        <v>98</v>
      </c>
      <c r="AP163" s="93" t="str">
        <f t="shared" si="61"/>
        <v>#REF!</v>
      </c>
      <c r="AQ163" s="95" t="s">
        <v>98</v>
      </c>
      <c r="AR163" s="95" t="s">
        <v>98</v>
      </c>
      <c r="AS163" s="95" t="str">
        <f t="shared" si="62"/>
        <v>#VALUE!</v>
      </c>
      <c r="AT163" s="95" t="s">
        <v>98</v>
      </c>
      <c r="AU163" s="95" t="s">
        <v>98</v>
      </c>
      <c r="AV163" s="95" t="s">
        <v>98</v>
      </c>
      <c r="AW163" s="95" t="s">
        <v>98</v>
      </c>
      <c r="AX163" s="93" t="s">
        <v>113</v>
      </c>
      <c r="AY163" s="93" t="str">
        <f t="shared" si="58"/>
        <v>#REF!</v>
      </c>
      <c r="AZ163" s="95">
        <f t="shared" si="59"/>
        <v>46171</v>
      </c>
      <c r="BA163" s="95"/>
    </row>
    <row r="164" ht="30.75" customHeight="1">
      <c r="A164" s="93"/>
      <c r="B164" s="94" t="s">
        <v>82</v>
      </c>
      <c r="C164" s="94" t="s">
        <v>83</v>
      </c>
      <c r="D164" s="93">
        <v>6.0</v>
      </c>
      <c r="E164" s="93" t="s">
        <v>336</v>
      </c>
      <c r="F164" s="93" t="s">
        <v>671</v>
      </c>
      <c r="G164" s="93" t="s">
        <v>672</v>
      </c>
      <c r="H164" s="93" t="s">
        <v>673</v>
      </c>
      <c r="I164" s="93" t="s">
        <v>88</v>
      </c>
      <c r="J164" s="93" t="s">
        <v>674</v>
      </c>
      <c r="K164" s="93" t="s">
        <v>666</v>
      </c>
      <c r="L164" s="93" t="s">
        <v>675</v>
      </c>
      <c r="M164" s="93" t="s">
        <v>676</v>
      </c>
      <c r="N164" s="93" t="s">
        <v>677</v>
      </c>
      <c r="O164" s="93" t="s">
        <v>678</v>
      </c>
      <c r="P164" s="93">
        <v>12.0</v>
      </c>
      <c r="Q164" s="93">
        <v>1.0</v>
      </c>
      <c r="R164" s="93"/>
      <c r="S164" s="93"/>
      <c r="T164" s="93"/>
      <c r="U164" s="93"/>
      <c r="V164" s="93">
        <v>1.0</v>
      </c>
      <c r="W164" s="93">
        <v>1.0</v>
      </c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 t="str">
        <f t="shared" si="61"/>
        <v>#REF!</v>
      </c>
      <c r="AQ164" s="95">
        <v>45000.0</v>
      </c>
      <c r="AR164" s="95">
        <v>45000.0</v>
      </c>
      <c r="AS164" s="95">
        <f t="shared" si="62"/>
        <v>45366</v>
      </c>
      <c r="AT164" s="96" t="s">
        <v>679</v>
      </c>
      <c r="AU164" s="93"/>
      <c r="AV164" s="93"/>
      <c r="AW164" s="93"/>
      <c r="AX164" s="95" t="s">
        <v>99</v>
      </c>
      <c r="AY164" s="93" t="str">
        <f t="shared" si="58"/>
        <v>#REF!</v>
      </c>
      <c r="AZ164" s="95">
        <f t="shared" si="59"/>
        <v>46171</v>
      </c>
      <c r="BA164" s="95"/>
    </row>
    <row r="165" ht="30.75" customHeight="1">
      <c r="A165" s="93"/>
      <c r="B165" s="94"/>
      <c r="C165" s="111" t="s">
        <v>206</v>
      </c>
      <c r="D165" s="111">
        <v>1.0</v>
      </c>
      <c r="E165" s="93" t="s">
        <v>340</v>
      </c>
      <c r="F165" s="111" t="s">
        <v>98</v>
      </c>
      <c r="G165" s="93" t="s">
        <v>86</v>
      </c>
      <c r="H165" s="93" t="s">
        <v>680</v>
      </c>
      <c r="I165" s="93" t="s">
        <v>118</v>
      </c>
      <c r="J165" s="93" t="s">
        <v>681</v>
      </c>
      <c r="K165" s="93" t="s">
        <v>170</v>
      </c>
      <c r="L165" s="93" t="s">
        <v>682</v>
      </c>
      <c r="M165" s="111" t="s">
        <v>122</v>
      </c>
      <c r="N165" s="111" t="s">
        <v>123</v>
      </c>
      <c r="O165" s="93" t="s">
        <v>124</v>
      </c>
      <c r="P165" s="111">
        <v>4.0</v>
      </c>
      <c r="Q165" s="111">
        <v>1.0</v>
      </c>
      <c r="R165" s="111" t="s">
        <v>98</v>
      </c>
      <c r="S165" s="111" t="s">
        <v>98</v>
      </c>
      <c r="T165" s="111">
        <v>1.0</v>
      </c>
      <c r="U165" s="111" t="s">
        <v>98</v>
      </c>
      <c r="V165" s="111" t="s">
        <v>98</v>
      </c>
      <c r="W165" s="111" t="s">
        <v>98</v>
      </c>
      <c r="X165" s="111" t="s">
        <v>98</v>
      </c>
      <c r="Y165" s="111" t="s">
        <v>98</v>
      </c>
      <c r="Z165" s="111">
        <v>1.0</v>
      </c>
      <c r="AA165" s="111">
        <v>1.0</v>
      </c>
      <c r="AB165" s="111" t="s">
        <v>98</v>
      </c>
      <c r="AC165" s="111" t="s">
        <v>98</v>
      </c>
      <c r="AD165" s="111" t="s">
        <v>98</v>
      </c>
      <c r="AE165" s="111" t="s">
        <v>98</v>
      </c>
      <c r="AF165" s="111">
        <v>1.0</v>
      </c>
      <c r="AG165" s="111" t="s">
        <v>98</v>
      </c>
      <c r="AH165" s="111" t="s">
        <v>98</v>
      </c>
      <c r="AI165" s="111" t="s">
        <v>98</v>
      </c>
      <c r="AJ165" s="111" t="s">
        <v>98</v>
      </c>
      <c r="AK165" s="111" t="s">
        <v>98</v>
      </c>
      <c r="AL165" s="111">
        <v>1.0</v>
      </c>
      <c r="AM165" s="111" t="s">
        <v>98</v>
      </c>
      <c r="AN165" s="111" t="s">
        <v>98</v>
      </c>
      <c r="AO165" s="111" t="s">
        <v>98</v>
      </c>
      <c r="AP165" s="93"/>
      <c r="AQ165" s="111" t="s">
        <v>125</v>
      </c>
      <c r="AR165" s="111" t="s">
        <v>125</v>
      </c>
      <c r="AS165" s="105" t="str">
        <f t="shared" ref="AS165:AS167" si="63">DATE(YEAR(AQ165),MONTH(AQ165)+Q165,DAY(AQ165))</f>
        <v>#VALUE!</v>
      </c>
      <c r="AT165" s="111"/>
      <c r="AU165" s="136"/>
      <c r="AV165" s="93"/>
      <c r="AW165" s="103"/>
      <c r="AX165" s="111" t="s">
        <v>125</v>
      </c>
      <c r="AY165" s="111" t="str">
        <f t="shared" ref="AY165:AY167" si="64">#REF!</f>
        <v>#REF!</v>
      </c>
      <c r="AZ165" s="105">
        <f t="shared" si="59"/>
        <v>46171</v>
      </c>
      <c r="BA165" s="93"/>
    </row>
    <row r="166" ht="30.75" customHeight="1">
      <c r="A166" s="93"/>
      <c r="B166" s="94"/>
      <c r="C166" s="111" t="s">
        <v>206</v>
      </c>
      <c r="D166" s="111">
        <v>2.0</v>
      </c>
      <c r="E166" s="93" t="s">
        <v>340</v>
      </c>
      <c r="F166" s="111" t="s">
        <v>98</v>
      </c>
      <c r="G166" s="93" t="s">
        <v>86</v>
      </c>
      <c r="H166" s="93" t="s">
        <v>683</v>
      </c>
      <c r="I166" s="93" t="s">
        <v>118</v>
      </c>
      <c r="J166" s="93" t="s">
        <v>681</v>
      </c>
      <c r="K166" s="93" t="s">
        <v>684</v>
      </c>
      <c r="L166" s="93" t="s">
        <v>685</v>
      </c>
      <c r="M166" s="111" t="s">
        <v>686</v>
      </c>
      <c r="N166" s="111" t="s">
        <v>123</v>
      </c>
      <c r="O166" s="93" t="s">
        <v>124</v>
      </c>
      <c r="P166" s="111">
        <v>4.0</v>
      </c>
      <c r="Q166" s="111">
        <v>1.0</v>
      </c>
      <c r="R166" s="111">
        <v>1.0</v>
      </c>
      <c r="S166" s="111">
        <v>1.0</v>
      </c>
      <c r="T166" s="111" t="s">
        <v>98</v>
      </c>
      <c r="U166" s="111" t="s">
        <v>98</v>
      </c>
      <c r="V166" s="111" t="s">
        <v>98</v>
      </c>
      <c r="W166" s="111" t="s">
        <v>98</v>
      </c>
      <c r="X166" s="111">
        <v>1.0</v>
      </c>
      <c r="Y166" s="111" t="s">
        <v>98</v>
      </c>
      <c r="Z166" s="111" t="s">
        <v>98</v>
      </c>
      <c r="AA166" s="111" t="s">
        <v>98</v>
      </c>
      <c r="AB166" s="111" t="s">
        <v>98</v>
      </c>
      <c r="AC166" s="111" t="s">
        <v>98</v>
      </c>
      <c r="AD166" s="111">
        <v>1.0</v>
      </c>
      <c r="AE166" s="111" t="s">
        <v>98</v>
      </c>
      <c r="AF166" s="111" t="s">
        <v>98</v>
      </c>
      <c r="AG166" s="111" t="s">
        <v>98</v>
      </c>
      <c r="AH166" s="111" t="s">
        <v>98</v>
      </c>
      <c r="AI166" s="111" t="s">
        <v>98</v>
      </c>
      <c r="AJ166" s="111">
        <v>1.0</v>
      </c>
      <c r="AK166" s="111" t="s">
        <v>98</v>
      </c>
      <c r="AL166" s="111" t="s">
        <v>98</v>
      </c>
      <c r="AM166" s="111" t="s">
        <v>98</v>
      </c>
      <c r="AN166" s="111" t="s">
        <v>98</v>
      </c>
      <c r="AO166" s="111" t="s">
        <v>98</v>
      </c>
      <c r="AP166" s="93"/>
      <c r="AQ166" s="111" t="s">
        <v>125</v>
      </c>
      <c r="AR166" s="111" t="s">
        <v>125</v>
      </c>
      <c r="AS166" s="105" t="str">
        <f t="shared" si="63"/>
        <v>#VALUE!</v>
      </c>
      <c r="AT166" s="111"/>
      <c r="AU166" s="136"/>
      <c r="AV166" s="93"/>
      <c r="AW166" s="103"/>
      <c r="AX166" s="111" t="s">
        <v>125</v>
      </c>
      <c r="AY166" s="111" t="str">
        <f t="shared" si="64"/>
        <v>#REF!</v>
      </c>
      <c r="AZ166" s="105">
        <f t="shared" si="59"/>
        <v>46171</v>
      </c>
      <c r="BA166" s="93"/>
    </row>
    <row r="167" ht="30.75" customHeight="1">
      <c r="A167" s="93"/>
      <c r="B167" s="94"/>
      <c r="C167" s="111" t="s">
        <v>206</v>
      </c>
      <c r="D167" s="111">
        <v>3.0</v>
      </c>
      <c r="E167" s="93" t="s">
        <v>340</v>
      </c>
      <c r="F167" s="111" t="s">
        <v>98</v>
      </c>
      <c r="G167" s="93" t="s">
        <v>86</v>
      </c>
      <c r="H167" s="93" t="s">
        <v>687</v>
      </c>
      <c r="I167" s="93" t="s">
        <v>118</v>
      </c>
      <c r="J167" s="93" t="s">
        <v>681</v>
      </c>
      <c r="K167" s="93" t="s">
        <v>688</v>
      </c>
      <c r="L167" s="93" t="s">
        <v>689</v>
      </c>
      <c r="M167" s="111" t="s">
        <v>686</v>
      </c>
      <c r="N167" s="111" t="s">
        <v>123</v>
      </c>
      <c r="O167" s="93" t="s">
        <v>124</v>
      </c>
      <c r="P167" s="111">
        <v>4.0</v>
      </c>
      <c r="Q167" s="111">
        <v>1.0</v>
      </c>
      <c r="R167" s="111">
        <v>1.0</v>
      </c>
      <c r="S167" s="111">
        <v>1.0</v>
      </c>
      <c r="T167" s="111" t="s">
        <v>98</v>
      </c>
      <c r="U167" s="111" t="s">
        <v>98</v>
      </c>
      <c r="V167" s="111" t="s">
        <v>98</v>
      </c>
      <c r="W167" s="111" t="s">
        <v>98</v>
      </c>
      <c r="X167" s="111">
        <v>1.0</v>
      </c>
      <c r="Y167" s="111" t="s">
        <v>98</v>
      </c>
      <c r="Z167" s="111" t="s">
        <v>98</v>
      </c>
      <c r="AA167" s="111" t="s">
        <v>98</v>
      </c>
      <c r="AB167" s="111" t="s">
        <v>98</v>
      </c>
      <c r="AC167" s="111" t="s">
        <v>98</v>
      </c>
      <c r="AD167" s="111">
        <v>1.0</v>
      </c>
      <c r="AE167" s="111" t="s">
        <v>98</v>
      </c>
      <c r="AF167" s="111" t="s">
        <v>98</v>
      </c>
      <c r="AG167" s="111" t="s">
        <v>98</v>
      </c>
      <c r="AH167" s="111" t="s">
        <v>98</v>
      </c>
      <c r="AI167" s="111" t="s">
        <v>98</v>
      </c>
      <c r="AJ167" s="111">
        <v>1.0</v>
      </c>
      <c r="AK167" s="111" t="s">
        <v>98</v>
      </c>
      <c r="AL167" s="111" t="s">
        <v>98</v>
      </c>
      <c r="AM167" s="111" t="s">
        <v>98</v>
      </c>
      <c r="AN167" s="111" t="s">
        <v>98</v>
      </c>
      <c r="AO167" s="111" t="s">
        <v>98</v>
      </c>
      <c r="AP167" s="93"/>
      <c r="AQ167" s="93" t="s">
        <v>125</v>
      </c>
      <c r="AR167" s="93" t="s">
        <v>125</v>
      </c>
      <c r="AS167" s="95" t="str">
        <f t="shared" si="63"/>
        <v>#VALUE!</v>
      </c>
      <c r="AT167" s="93"/>
      <c r="AU167" s="103"/>
      <c r="AV167" s="93"/>
      <c r="AW167" s="103"/>
      <c r="AX167" s="111" t="s">
        <v>125</v>
      </c>
      <c r="AY167" s="111" t="str">
        <f t="shared" si="64"/>
        <v>#REF!</v>
      </c>
      <c r="AZ167" s="105">
        <f t="shared" si="59"/>
        <v>46171</v>
      </c>
      <c r="BA167" s="93"/>
    </row>
    <row r="168" ht="30.75" customHeight="1">
      <c r="A168" s="93" t="s">
        <v>114</v>
      </c>
      <c r="B168" s="94" t="s">
        <v>107</v>
      </c>
      <c r="C168" s="110" t="s">
        <v>83</v>
      </c>
      <c r="D168" s="111">
        <v>3.0</v>
      </c>
      <c r="E168" s="93" t="s">
        <v>340</v>
      </c>
      <c r="F168" s="93" t="s">
        <v>690</v>
      </c>
      <c r="G168" s="93" t="s">
        <v>672</v>
      </c>
      <c r="H168" s="93" t="s">
        <v>691</v>
      </c>
      <c r="I168" s="93" t="s">
        <v>88</v>
      </c>
      <c r="J168" s="93" t="s">
        <v>692</v>
      </c>
      <c r="K168" s="93" t="s">
        <v>693</v>
      </c>
      <c r="L168" s="93" t="s">
        <v>694</v>
      </c>
      <c r="M168" s="111" t="s">
        <v>695</v>
      </c>
      <c r="N168" s="111" t="s">
        <v>696</v>
      </c>
      <c r="O168" s="93" t="s">
        <v>678</v>
      </c>
      <c r="P168" s="111">
        <v>1.0</v>
      </c>
      <c r="Q168" s="111" t="s">
        <v>98</v>
      </c>
      <c r="R168" s="111" t="s">
        <v>98</v>
      </c>
      <c r="S168" s="111" t="s">
        <v>98</v>
      </c>
      <c r="T168" s="111" t="s">
        <v>98</v>
      </c>
      <c r="U168" s="111" t="s">
        <v>98</v>
      </c>
      <c r="V168" s="111" t="s">
        <v>98</v>
      </c>
      <c r="W168" s="111" t="s">
        <v>98</v>
      </c>
      <c r="X168" s="111" t="s">
        <v>98</v>
      </c>
      <c r="Y168" s="111" t="s">
        <v>98</v>
      </c>
      <c r="Z168" s="111" t="s">
        <v>98</v>
      </c>
      <c r="AA168" s="111" t="s">
        <v>98</v>
      </c>
      <c r="AB168" s="111" t="s">
        <v>98</v>
      </c>
      <c r="AC168" s="111" t="s">
        <v>98</v>
      </c>
      <c r="AD168" s="111" t="s">
        <v>98</v>
      </c>
      <c r="AE168" s="111" t="s">
        <v>98</v>
      </c>
      <c r="AF168" s="111" t="s">
        <v>98</v>
      </c>
      <c r="AG168" s="111" t="s">
        <v>98</v>
      </c>
      <c r="AH168" s="111" t="s">
        <v>98</v>
      </c>
      <c r="AI168" s="111" t="s">
        <v>98</v>
      </c>
      <c r="AJ168" s="111" t="s">
        <v>98</v>
      </c>
      <c r="AK168" s="111" t="s">
        <v>98</v>
      </c>
      <c r="AL168" s="111" t="s">
        <v>98</v>
      </c>
      <c r="AM168" s="111" t="s">
        <v>98</v>
      </c>
      <c r="AN168" s="111" t="s">
        <v>98</v>
      </c>
      <c r="AO168" s="111" t="s">
        <v>98</v>
      </c>
      <c r="AP168" s="93" t="str">
        <f t="shared" ref="AP168:AP169" si="65">#REF!</f>
        <v>#REF!</v>
      </c>
      <c r="AQ168" s="105" t="s">
        <v>98</v>
      </c>
      <c r="AR168" s="105" t="s">
        <v>98</v>
      </c>
      <c r="AS168" s="105" t="str">
        <f t="shared" ref="AS168:AS182" si="66">DATE(YEAR(AQ168),MONTH(AQ168)+P168,DAY(AQ168))</f>
        <v>#VALUE!</v>
      </c>
      <c r="AT168" s="105" t="s">
        <v>98</v>
      </c>
      <c r="AU168" s="105" t="s">
        <v>98</v>
      </c>
      <c r="AV168" s="105" t="s">
        <v>98</v>
      </c>
      <c r="AW168" s="105" t="s">
        <v>98</v>
      </c>
      <c r="AX168" s="111" t="s">
        <v>113</v>
      </c>
      <c r="AY168" s="111" t="str">
        <f>#REF!</f>
        <v>#REF!</v>
      </c>
      <c r="AZ168" s="105">
        <f t="shared" si="59"/>
        <v>46171</v>
      </c>
      <c r="BA168" s="95"/>
    </row>
    <row r="169" ht="30.75" customHeight="1">
      <c r="A169" s="93" t="s">
        <v>114</v>
      </c>
      <c r="B169" s="94" t="s">
        <v>107</v>
      </c>
      <c r="C169" s="110" t="s">
        <v>83</v>
      </c>
      <c r="D169" s="111">
        <v>4.0</v>
      </c>
      <c r="E169" s="93" t="s">
        <v>340</v>
      </c>
      <c r="F169" s="93" t="s">
        <v>697</v>
      </c>
      <c r="G169" s="93" t="s">
        <v>86</v>
      </c>
      <c r="H169" s="93" t="s">
        <v>698</v>
      </c>
      <c r="I169" s="93" t="s">
        <v>88</v>
      </c>
      <c r="J169" s="93" t="s">
        <v>699</v>
      </c>
      <c r="K169" s="111" t="s">
        <v>98</v>
      </c>
      <c r="L169" s="111" t="s">
        <v>98</v>
      </c>
      <c r="M169" s="111" t="s">
        <v>98</v>
      </c>
      <c r="N169" s="111" t="s">
        <v>98</v>
      </c>
      <c r="O169" s="93" t="s">
        <v>678</v>
      </c>
      <c r="P169" s="111">
        <v>1.0</v>
      </c>
      <c r="Q169" s="111" t="s">
        <v>98</v>
      </c>
      <c r="R169" s="111" t="s">
        <v>98</v>
      </c>
      <c r="S169" s="111" t="s">
        <v>98</v>
      </c>
      <c r="T169" s="111" t="s">
        <v>98</v>
      </c>
      <c r="U169" s="111" t="s">
        <v>98</v>
      </c>
      <c r="V169" s="111" t="s">
        <v>98</v>
      </c>
      <c r="W169" s="111" t="s">
        <v>98</v>
      </c>
      <c r="X169" s="111" t="s">
        <v>98</v>
      </c>
      <c r="Y169" s="111" t="s">
        <v>98</v>
      </c>
      <c r="Z169" s="111" t="s">
        <v>98</v>
      </c>
      <c r="AA169" s="111" t="s">
        <v>98</v>
      </c>
      <c r="AB169" s="111" t="s">
        <v>98</v>
      </c>
      <c r="AC169" s="111" t="s">
        <v>98</v>
      </c>
      <c r="AD169" s="111" t="s">
        <v>98</v>
      </c>
      <c r="AE169" s="111" t="s">
        <v>98</v>
      </c>
      <c r="AF169" s="111" t="s">
        <v>98</v>
      </c>
      <c r="AG169" s="111" t="s">
        <v>98</v>
      </c>
      <c r="AH169" s="111" t="s">
        <v>98</v>
      </c>
      <c r="AI169" s="111" t="s">
        <v>98</v>
      </c>
      <c r="AJ169" s="111" t="s">
        <v>98</v>
      </c>
      <c r="AK169" s="111" t="s">
        <v>98</v>
      </c>
      <c r="AL169" s="111" t="s">
        <v>98</v>
      </c>
      <c r="AM169" s="111" t="s">
        <v>98</v>
      </c>
      <c r="AN169" s="111" t="s">
        <v>98</v>
      </c>
      <c r="AO169" s="111" t="s">
        <v>98</v>
      </c>
      <c r="AP169" s="93" t="str">
        <f t="shared" si="65"/>
        <v>#REF!</v>
      </c>
      <c r="AQ169" s="105" t="s">
        <v>98</v>
      </c>
      <c r="AR169" s="105" t="s">
        <v>98</v>
      </c>
      <c r="AS169" s="105" t="str">
        <f t="shared" si="66"/>
        <v>#VALUE!</v>
      </c>
      <c r="AT169" s="105" t="s">
        <v>98</v>
      </c>
      <c r="AU169" s="105" t="s">
        <v>98</v>
      </c>
      <c r="AV169" s="105" t="s">
        <v>98</v>
      </c>
      <c r="AW169" s="105" t="s">
        <v>98</v>
      </c>
      <c r="AX169" s="111" t="s">
        <v>113</v>
      </c>
      <c r="AY169" s="111"/>
      <c r="AZ169" s="105">
        <f t="shared" si="59"/>
        <v>46171</v>
      </c>
      <c r="BA169" s="95"/>
    </row>
    <row r="170" ht="30.75" customHeight="1">
      <c r="A170" s="93" t="s">
        <v>81</v>
      </c>
      <c r="B170" s="94" t="s">
        <v>82</v>
      </c>
      <c r="C170" s="94" t="s">
        <v>83</v>
      </c>
      <c r="D170" s="93"/>
      <c r="E170" s="93" t="s">
        <v>700</v>
      </c>
      <c r="F170" s="93" t="s">
        <v>701</v>
      </c>
      <c r="G170" s="93" t="s">
        <v>86</v>
      </c>
      <c r="H170" s="93"/>
      <c r="I170" s="93"/>
      <c r="J170" s="93" t="s">
        <v>702</v>
      </c>
      <c r="K170" s="93" t="s">
        <v>666</v>
      </c>
      <c r="L170" s="93" t="s">
        <v>703</v>
      </c>
      <c r="M170" s="93" t="s">
        <v>704</v>
      </c>
      <c r="N170" s="93"/>
      <c r="O170" s="93"/>
      <c r="P170" s="93">
        <v>12.0</v>
      </c>
      <c r="Q170" s="93">
        <v>1.0</v>
      </c>
      <c r="R170" s="93"/>
      <c r="S170" s="93"/>
      <c r="T170" s="93"/>
      <c r="U170" s="93"/>
      <c r="V170" s="93"/>
      <c r="W170" s="93"/>
      <c r="X170" s="93"/>
      <c r="Y170" s="93"/>
      <c r="Z170" s="93">
        <v>1.0</v>
      </c>
      <c r="AA170" s="93">
        <v>1.0</v>
      </c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5">
        <v>45436.0</v>
      </c>
      <c r="AR170" s="95">
        <v>45436.0</v>
      </c>
      <c r="AS170" s="95">
        <f t="shared" si="66"/>
        <v>45801</v>
      </c>
      <c r="AT170" s="95" t="s">
        <v>705</v>
      </c>
      <c r="AU170" s="95" t="s">
        <v>706</v>
      </c>
      <c r="AV170" s="95"/>
      <c r="AW170" s="95"/>
      <c r="AX170" s="93" t="s">
        <v>707</v>
      </c>
      <c r="AY170" s="93"/>
      <c r="AZ170" s="95">
        <f t="shared" si="59"/>
        <v>46171</v>
      </c>
      <c r="BA170" s="95"/>
    </row>
    <row r="171" ht="30.75" customHeight="1">
      <c r="A171" s="93" t="s">
        <v>81</v>
      </c>
      <c r="B171" s="94" t="s">
        <v>82</v>
      </c>
      <c r="C171" s="94" t="s">
        <v>83</v>
      </c>
      <c r="D171" s="93">
        <v>7.0</v>
      </c>
      <c r="E171" s="93" t="s">
        <v>173</v>
      </c>
      <c r="F171" s="93" t="s">
        <v>708</v>
      </c>
      <c r="G171" s="93" t="s">
        <v>86</v>
      </c>
      <c r="H171" s="93" t="s">
        <v>98</v>
      </c>
      <c r="I171" s="93" t="s">
        <v>88</v>
      </c>
      <c r="J171" s="93" t="s">
        <v>709</v>
      </c>
      <c r="K171" s="93" t="s">
        <v>710</v>
      </c>
      <c r="L171" s="93" t="s">
        <v>711</v>
      </c>
      <c r="M171" s="93">
        <v>59114.0</v>
      </c>
      <c r="N171" s="93" t="s">
        <v>98</v>
      </c>
      <c r="O171" s="93" t="s">
        <v>678</v>
      </c>
      <c r="P171" s="93">
        <v>12.0</v>
      </c>
      <c r="Q171" s="93">
        <v>1.0</v>
      </c>
      <c r="R171" s="93"/>
      <c r="S171" s="93"/>
      <c r="T171" s="93"/>
      <c r="U171" s="93"/>
      <c r="V171" s="93"/>
      <c r="W171" s="93"/>
      <c r="X171" s="93"/>
      <c r="Y171" s="93"/>
      <c r="Z171" s="93">
        <v>1.0</v>
      </c>
      <c r="AA171" s="93">
        <v>1.0</v>
      </c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 t="str">
        <f t="shared" ref="AP171:AP173" si="67">#REF!</f>
        <v>#REF!</v>
      </c>
      <c r="AQ171" s="95">
        <v>45436.0</v>
      </c>
      <c r="AR171" s="95">
        <v>45436.0</v>
      </c>
      <c r="AS171" s="95">
        <f t="shared" si="66"/>
        <v>45801</v>
      </c>
      <c r="AT171" s="96" t="s">
        <v>712</v>
      </c>
      <c r="AU171" s="95" t="s">
        <v>98</v>
      </c>
      <c r="AV171" s="95" t="s">
        <v>98</v>
      </c>
      <c r="AW171" s="95" t="s">
        <v>98</v>
      </c>
      <c r="AX171" s="95" t="s">
        <v>99</v>
      </c>
      <c r="AY171" s="93" t="str">
        <f>#REF!</f>
        <v>#REF!</v>
      </c>
      <c r="AZ171" s="95">
        <f t="shared" si="59"/>
        <v>46171</v>
      </c>
      <c r="BA171" s="95"/>
    </row>
    <row r="172" ht="30.75" customHeight="1">
      <c r="A172" s="97" t="s">
        <v>114</v>
      </c>
      <c r="B172" s="99"/>
      <c r="C172" s="99" t="s">
        <v>83</v>
      </c>
      <c r="D172" s="97">
        <v>17.0</v>
      </c>
      <c r="E172" s="100" t="s">
        <v>108</v>
      </c>
      <c r="F172" s="97" t="s">
        <v>98</v>
      </c>
      <c r="G172" s="97" t="s">
        <v>86</v>
      </c>
      <c r="H172" s="97" t="s">
        <v>713</v>
      </c>
      <c r="I172" s="97" t="s">
        <v>88</v>
      </c>
      <c r="J172" s="97" t="s">
        <v>709</v>
      </c>
      <c r="K172" s="97" t="s">
        <v>650</v>
      </c>
      <c r="L172" s="97" t="s">
        <v>714</v>
      </c>
      <c r="M172" s="97">
        <v>56105.0</v>
      </c>
      <c r="N172" s="100" t="s">
        <v>98</v>
      </c>
      <c r="O172" s="97" t="s">
        <v>678</v>
      </c>
      <c r="P172" s="100">
        <v>12.0</v>
      </c>
      <c r="Q172" s="100">
        <v>1.0</v>
      </c>
      <c r="R172" s="97"/>
      <c r="S172" s="97"/>
      <c r="T172" s="97"/>
      <c r="U172" s="97"/>
      <c r="V172" s="97">
        <v>1.0</v>
      </c>
      <c r="W172" s="97">
        <v>1.0</v>
      </c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 t="str">
        <f t="shared" si="67"/>
        <v>#REF!</v>
      </c>
      <c r="AQ172" s="101">
        <v>45000.0</v>
      </c>
      <c r="AR172" s="101">
        <v>45000.0</v>
      </c>
      <c r="AS172" s="101">
        <f t="shared" si="66"/>
        <v>45366</v>
      </c>
      <c r="AT172" s="135" t="s">
        <v>715</v>
      </c>
      <c r="AU172" s="101" t="s">
        <v>98</v>
      </c>
      <c r="AV172" s="101" t="s">
        <v>98</v>
      </c>
      <c r="AW172" s="101" t="s">
        <v>98</v>
      </c>
      <c r="AX172" s="101" t="s">
        <v>716</v>
      </c>
      <c r="AY172" s="97"/>
      <c r="AZ172" s="101">
        <f t="shared" si="59"/>
        <v>46171</v>
      </c>
      <c r="BA172" s="101"/>
    </row>
    <row r="173" ht="30.75" customHeight="1">
      <c r="A173" s="93" t="s">
        <v>81</v>
      </c>
      <c r="B173" s="94" t="s">
        <v>82</v>
      </c>
      <c r="C173" s="94" t="s">
        <v>83</v>
      </c>
      <c r="D173" s="93">
        <v>8.0</v>
      </c>
      <c r="E173" s="93" t="s">
        <v>173</v>
      </c>
      <c r="F173" s="93" t="s">
        <v>717</v>
      </c>
      <c r="G173" s="93" t="s">
        <v>672</v>
      </c>
      <c r="H173" s="93" t="s">
        <v>718</v>
      </c>
      <c r="I173" s="93" t="s">
        <v>88</v>
      </c>
      <c r="J173" s="93" t="s">
        <v>719</v>
      </c>
      <c r="K173" s="93" t="s">
        <v>710</v>
      </c>
      <c r="L173" s="93" t="s">
        <v>720</v>
      </c>
      <c r="M173" s="93">
        <v>57111.0</v>
      </c>
      <c r="N173" s="93" t="s">
        <v>98</v>
      </c>
      <c r="O173" s="93" t="s">
        <v>678</v>
      </c>
      <c r="P173" s="93">
        <v>12.0</v>
      </c>
      <c r="Q173" s="93">
        <v>1.0</v>
      </c>
      <c r="R173" s="93"/>
      <c r="S173" s="93"/>
      <c r="T173" s="93"/>
      <c r="U173" s="93"/>
      <c r="V173" s="93"/>
      <c r="W173" s="93"/>
      <c r="X173" s="93"/>
      <c r="Y173" s="93"/>
      <c r="Z173" s="93">
        <v>1.0</v>
      </c>
      <c r="AA173" s="93">
        <v>1.0</v>
      </c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 t="str">
        <f t="shared" si="67"/>
        <v>#REF!</v>
      </c>
      <c r="AQ173" s="95">
        <v>45436.0</v>
      </c>
      <c r="AR173" s="95">
        <v>45436.0</v>
      </c>
      <c r="AS173" s="95">
        <f t="shared" si="66"/>
        <v>45801</v>
      </c>
      <c r="AT173" s="96" t="s">
        <v>721</v>
      </c>
      <c r="AU173" s="95" t="s">
        <v>722</v>
      </c>
      <c r="AV173" s="95" t="s">
        <v>98</v>
      </c>
      <c r="AW173" s="95" t="s">
        <v>98</v>
      </c>
      <c r="AX173" s="93" t="s">
        <v>707</v>
      </c>
      <c r="AY173" s="93" t="str">
        <f>#REF!</f>
        <v>#REF!</v>
      </c>
      <c r="AZ173" s="95">
        <f t="shared" si="59"/>
        <v>46171</v>
      </c>
      <c r="BA173" s="95"/>
    </row>
    <row r="174" ht="30.75" customHeight="1">
      <c r="A174" s="93"/>
      <c r="B174" s="94" t="s">
        <v>82</v>
      </c>
      <c r="C174" s="94" t="s">
        <v>83</v>
      </c>
      <c r="D174" s="93">
        <v>1.0</v>
      </c>
      <c r="E174" s="93" t="s">
        <v>723</v>
      </c>
      <c r="F174" s="93"/>
      <c r="G174" s="93" t="s">
        <v>672</v>
      </c>
      <c r="H174" s="93"/>
      <c r="I174" s="93"/>
      <c r="J174" s="93" t="s">
        <v>719</v>
      </c>
      <c r="K174" s="93" t="s">
        <v>724</v>
      </c>
      <c r="L174" s="93" t="s">
        <v>725</v>
      </c>
      <c r="M174" s="93">
        <v>519746.0</v>
      </c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>
        <v>1.0</v>
      </c>
      <c r="AA174" s="93">
        <v>1.0</v>
      </c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5">
        <v>45437.0</v>
      </c>
      <c r="AR174" s="95">
        <v>45437.0</v>
      </c>
      <c r="AS174" s="95">
        <f t="shared" si="66"/>
        <v>45437</v>
      </c>
      <c r="AT174" s="96" t="s">
        <v>726</v>
      </c>
      <c r="AU174" s="95"/>
      <c r="AV174" s="95"/>
      <c r="AW174" s="95"/>
      <c r="AX174" s="95"/>
      <c r="AY174" s="93"/>
      <c r="AZ174" s="95">
        <f t="shared" si="59"/>
        <v>46171</v>
      </c>
      <c r="BA174" s="95"/>
    </row>
    <row r="175" ht="30.75" customHeight="1">
      <c r="A175" s="114" t="s">
        <v>81</v>
      </c>
      <c r="B175" s="115" t="s">
        <v>82</v>
      </c>
      <c r="C175" s="116" t="s">
        <v>83</v>
      </c>
      <c r="D175" s="114">
        <v>18.0</v>
      </c>
      <c r="E175" s="117" t="s">
        <v>108</v>
      </c>
      <c r="F175" s="114" t="s">
        <v>727</v>
      </c>
      <c r="G175" s="114" t="s">
        <v>672</v>
      </c>
      <c r="H175" s="114" t="s">
        <v>728</v>
      </c>
      <c r="I175" s="114" t="s">
        <v>88</v>
      </c>
      <c r="J175" s="114" t="s">
        <v>719</v>
      </c>
      <c r="K175" s="114" t="s">
        <v>666</v>
      </c>
      <c r="L175" s="114" t="s">
        <v>675</v>
      </c>
      <c r="M175" s="114" t="s">
        <v>729</v>
      </c>
      <c r="N175" s="114" t="s">
        <v>677</v>
      </c>
      <c r="O175" s="114" t="s">
        <v>678</v>
      </c>
      <c r="P175" s="117">
        <v>12.0</v>
      </c>
      <c r="Q175" s="117">
        <v>1.0</v>
      </c>
      <c r="R175" s="117"/>
      <c r="S175" s="117"/>
      <c r="T175" s="117"/>
      <c r="U175" s="117"/>
      <c r="V175" s="137"/>
      <c r="W175" s="137"/>
      <c r="X175" s="137"/>
      <c r="Y175" s="137"/>
      <c r="Z175" s="137">
        <v>1.0</v>
      </c>
      <c r="AA175" s="137">
        <v>1.0</v>
      </c>
      <c r="AB175" s="137"/>
      <c r="AC175" s="13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4" t="str">
        <f t="shared" ref="AP175:AP184" si="68">#REF!</f>
        <v>#REF!</v>
      </c>
      <c r="AQ175" s="118">
        <v>45436.0</v>
      </c>
      <c r="AR175" s="118">
        <v>45436.0</v>
      </c>
      <c r="AS175" s="118">
        <f t="shared" si="66"/>
        <v>45801</v>
      </c>
      <c r="AT175" s="121" t="s">
        <v>730</v>
      </c>
      <c r="AU175" s="118" t="s">
        <v>731</v>
      </c>
      <c r="AV175" s="118" t="s">
        <v>98</v>
      </c>
      <c r="AW175" s="118" t="s">
        <v>98</v>
      </c>
      <c r="AX175" s="114" t="s">
        <v>707</v>
      </c>
      <c r="AY175" s="114" t="str">
        <f t="shared" ref="AY175:AY209" si="69">#REF!</f>
        <v>#REF!</v>
      </c>
      <c r="AZ175" s="118">
        <f t="shared" si="59"/>
        <v>46171</v>
      </c>
      <c r="BA175" s="118"/>
    </row>
    <row r="176" ht="30.75" customHeight="1">
      <c r="A176" s="97" t="s">
        <v>114</v>
      </c>
      <c r="B176" s="99"/>
      <c r="C176" s="99" t="s">
        <v>83</v>
      </c>
      <c r="D176" s="97">
        <v>19.0</v>
      </c>
      <c r="E176" s="100" t="s">
        <v>108</v>
      </c>
      <c r="F176" s="97" t="s">
        <v>732</v>
      </c>
      <c r="G176" s="97" t="s">
        <v>672</v>
      </c>
      <c r="H176" s="97" t="s">
        <v>733</v>
      </c>
      <c r="I176" s="97" t="s">
        <v>88</v>
      </c>
      <c r="J176" s="97" t="s">
        <v>719</v>
      </c>
      <c r="K176" s="97" t="s">
        <v>666</v>
      </c>
      <c r="L176" s="97" t="s">
        <v>667</v>
      </c>
      <c r="M176" s="97" t="s">
        <v>734</v>
      </c>
      <c r="N176" s="97" t="s">
        <v>677</v>
      </c>
      <c r="O176" s="97" t="s">
        <v>652</v>
      </c>
      <c r="P176" s="100">
        <v>12.0</v>
      </c>
      <c r="Q176" s="100">
        <v>1.0</v>
      </c>
      <c r="R176" s="97"/>
      <c r="S176" s="97"/>
      <c r="T176" s="97"/>
      <c r="U176" s="97"/>
      <c r="V176" s="97"/>
      <c r="W176" s="97"/>
      <c r="X176" s="97"/>
      <c r="Y176" s="97"/>
      <c r="Z176" s="97">
        <v>1.0</v>
      </c>
      <c r="AA176" s="97">
        <v>1.0</v>
      </c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 t="str">
        <f t="shared" si="68"/>
        <v>#REF!</v>
      </c>
      <c r="AQ176" s="101">
        <v>45436.0</v>
      </c>
      <c r="AR176" s="101">
        <v>45436.0</v>
      </c>
      <c r="AS176" s="101">
        <f t="shared" si="66"/>
        <v>45801</v>
      </c>
      <c r="AT176" s="135" t="s">
        <v>735</v>
      </c>
      <c r="AU176" s="101" t="s">
        <v>98</v>
      </c>
      <c r="AV176" s="101" t="s">
        <v>98</v>
      </c>
      <c r="AW176" s="101" t="s">
        <v>98</v>
      </c>
      <c r="AX176" s="101" t="s">
        <v>99</v>
      </c>
      <c r="AY176" s="97" t="str">
        <f t="shared" si="69"/>
        <v>#REF!</v>
      </c>
      <c r="AZ176" s="101">
        <f t="shared" si="59"/>
        <v>46171</v>
      </c>
      <c r="BA176" s="101"/>
    </row>
    <row r="177" ht="30.75" customHeight="1">
      <c r="A177" s="114" t="s">
        <v>81</v>
      </c>
      <c r="B177" s="115" t="s">
        <v>82</v>
      </c>
      <c r="C177" s="116" t="s">
        <v>83</v>
      </c>
      <c r="D177" s="114">
        <v>20.0</v>
      </c>
      <c r="E177" s="117" t="s">
        <v>108</v>
      </c>
      <c r="F177" s="114" t="s">
        <v>736</v>
      </c>
      <c r="G177" s="114" t="s">
        <v>672</v>
      </c>
      <c r="H177" s="114"/>
      <c r="I177" s="114" t="s">
        <v>88</v>
      </c>
      <c r="J177" s="114" t="s">
        <v>719</v>
      </c>
      <c r="K177" s="114" t="s">
        <v>666</v>
      </c>
      <c r="L177" s="114" t="s">
        <v>737</v>
      </c>
      <c r="M177" s="114" t="s">
        <v>738</v>
      </c>
      <c r="N177" s="114" t="s">
        <v>677</v>
      </c>
      <c r="O177" s="114" t="s">
        <v>652</v>
      </c>
      <c r="P177" s="117">
        <v>12.0</v>
      </c>
      <c r="Q177" s="117">
        <v>1.0</v>
      </c>
      <c r="R177" s="114"/>
      <c r="S177" s="114"/>
      <c r="T177" s="114"/>
      <c r="U177" s="114"/>
      <c r="V177" s="114"/>
      <c r="W177" s="114"/>
      <c r="X177" s="114"/>
      <c r="Y177" s="114"/>
      <c r="Z177" s="114">
        <v>1.0</v>
      </c>
      <c r="AA177" s="114">
        <v>1.0</v>
      </c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 t="str">
        <f t="shared" si="68"/>
        <v>#REF!</v>
      </c>
      <c r="AQ177" s="118">
        <v>45436.0</v>
      </c>
      <c r="AR177" s="118">
        <v>45436.0</v>
      </c>
      <c r="AS177" s="118">
        <f t="shared" si="66"/>
        <v>45801</v>
      </c>
      <c r="AT177" s="121" t="s">
        <v>739</v>
      </c>
      <c r="AU177" s="118" t="s">
        <v>98</v>
      </c>
      <c r="AV177" s="118" t="s">
        <v>98</v>
      </c>
      <c r="AW177" s="118" t="s">
        <v>98</v>
      </c>
      <c r="AX177" s="118" t="s">
        <v>99</v>
      </c>
      <c r="AY177" s="114" t="str">
        <f t="shared" si="69"/>
        <v>#REF!</v>
      </c>
      <c r="AZ177" s="118">
        <f t="shared" si="59"/>
        <v>46171</v>
      </c>
      <c r="BA177" s="118"/>
    </row>
    <row r="178" ht="30.75" customHeight="1">
      <c r="A178" s="114" t="s">
        <v>81</v>
      </c>
      <c r="B178" s="115" t="s">
        <v>82</v>
      </c>
      <c r="C178" s="116" t="s">
        <v>83</v>
      </c>
      <c r="D178" s="114">
        <v>21.0</v>
      </c>
      <c r="E178" s="117" t="s">
        <v>108</v>
      </c>
      <c r="F178" s="114" t="s">
        <v>740</v>
      </c>
      <c r="G178" s="114" t="s">
        <v>672</v>
      </c>
      <c r="H178" s="114"/>
      <c r="I178" s="114" t="s">
        <v>88</v>
      </c>
      <c r="J178" s="114" t="s">
        <v>719</v>
      </c>
      <c r="K178" s="114" t="s">
        <v>666</v>
      </c>
      <c r="L178" s="114" t="s">
        <v>675</v>
      </c>
      <c r="M178" s="114" t="s">
        <v>741</v>
      </c>
      <c r="N178" s="114" t="s">
        <v>677</v>
      </c>
      <c r="O178" s="114" t="s">
        <v>678</v>
      </c>
      <c r="P178" s="117">
        <v>12.0</v>
      </c>
      <c r="Q178" s="117">
        <v>1.0</v>
      </c>
      <c r="R178" s="114"/>
      <c r="S178" s="114"/>
      <c r="T178" s="114"/>
      <c r="U178" s="114"/>
      <c r="V178" s="114"/>
      <c r="W178" s="114"/>
      <c r="X178" s="114"/>
      <c r="Y178" s="114"/>
      <c r="Z178" s="114">
        <v>1.0</v>
      </c>
      <c r="AA178" s="114">
        <v>1.0</v>
      </c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 t="str">
        <f t="shared" si="68"/>
        <v>#REF!</v>
      </c>
      <c r="AQ178" s="118">
        <v>45436.0</v>
      </c>
      <c r="AR178" s="118">
        <v>45436.0</v>
      </c>
      <c r="AS178" s="118">
        <f t="shared" si="66"/>
        <v>45801</v>
      </c>
      <c r="AT178" s="121" t="s">
        <v>742</v>
      </c>
      <c r="AU178" s="118" t="s">
        <v>98</v>
      </c>
      <c r="AV178" s="118" t="s">
        <v>98</v>
      </c>
      <c r="AW178" s="118" t="s">
        <v>98</v>
      </c>
      <c r="AX178" s="118" t="s">
        <v>99</v>
      </c>
      <c r="AY178" s="114" t="str">
        <f t="shared" si="69"/>
        <v>#REF!</v>
      </c>
      <c r="AZ178" s="118">
        <f t="shared" si="59"/>
        <v>46171</v>
      </c>
      <c r="BA178" s="118"/>
    </row>
    <row r="179" ht="30.75" customHeight="1">
      <c r="A179" s="114" t="s">
        <v>81</v>
      </c>
      <c r="B179" s="115" t="s">
        <v>82</v>
      </c>
      <c r="C179" s="116" t="s">
        <v>83</v>
      </c>
      <c r="D179" s="114">
        <v>22.0</v>
      </c>
      <c r="E179" s="117" t="s">
        <v>108</v>
      </c>
      <c r="F179" s="114" t="s">
        <v>743</v>
      </c>
      <c r="G179" s="114" t="s">
        <v>672</v>
      </c>
      <c r="H179" s="114" t="s">
        <v>98</v>
      </c>
      <c r="I179" s="114" t="s">
        <v>88</v>
      </c>
      <c r="J179" s="114" t="s">
        <v>719</v>
      </c>
      <c r="K179" s="114" t="s">
        <v>666</v>
      </c>
      <c r="L179" s="114" t="s">
        <v>675</v>
      </c>
      <c r="M179" s="114" t="s">
        <v>744</v>
      </c>
      <c r="N179" s="114" t="s">
        <v>677</v>
      </c>
      <c r="O179" s="114" t="s">
        <v>678</v>
      </c>
      <c r="P179" s="117">
        <v>12.0</v>
      </c>
      <c r="Q179" s="117">
        <v>1.0</v>
      </c>
      <c r="R179" s="114"/>
      <c r="S179" s="114"/>
      <c r="T179" s="114"/>
      <c r="U179" s="114"/>
      <c r="V179" s="114">
        <v>1.0</v>
      </c>
      <c r="W179" s="114">
        <v>1.0</v>
      </c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 t="str">
        <f t="shared" si="68"/>
        <v>#REF!</v>
      </c>
      <c r="AQ179" s="118">
        <v>45000.0</v>
      </c>
      <c r="AR179" s="118">
        <v>45000.0</v>
      </c>
      <c r="AS179" s="118">
        <f t="shared" si="66"/>
        <v>45366</v>
      </c>
      <c r="AT179" s="121" t="s">
        <v>745</v>
      </c>
      <c r="AU179" s="118" t="s">
        <v>98</v>
      </c>
      <c r="AV179" s="118" t="s">
        <v>98</v>
      </c>
      <c r="AW179" s="118" t="s">
        <v>98</v>
      </c>
      <c r="AX179" s="118" t="s">
        <v>716</v>
      </c>
      <c r="AY179" s="114" t="str">
        <f t="shared" si="69"/>
        <v>#REF!</v>
      </c>
      <c r="AZ179" s="118">
        <f t="shared" si="59"/>
        <v>46171</v>
      </c>
      <c r="BA179" s="118"/>
    </row>
    <row r="180" ht="30.75" customHeight="1">
      <c r="A180" s="114" t="s">
        <v>81</v>
      </c>
      <c r="B180" s="115" t="s">
        <v>82</v>
      </c>
      <c r="C180" s="116" t="s">
        <v>83</v>
      </c>
      <c r="D180" s="114">
        <v>69.0</v>
      </c>
      <c r="E180" s="117" t="s">
        <v>108</v>
      </c>
      <c r="F180" s="114" t="s">
        <v>98</v>
      </c>
      <c r="G180" s="114" t="s">
        <v>672</v>
      </c>
      <c r="H180" s="114" t="s">
        <v>98</v>
      </c>
      <c r="I180" s="114" t="s">
        <v>88</v>
      </c>
      <c r="J180" s="114" t="s">
        <v>719</v>
      </c>
      <c r="K180" s="114" t="s">
        <v>666</v>
      </c>
      <c r="L180" s="114" t="s">
        <v>746</v>
      </c>
      <c r="M180" s="114" t="s">
        <v>747</v>
      </c>
      <c r="N180" s="114" t="s">
        <v>677</v>
      </c>
      <c r="O180" s="114" t="s">
        <v>678</v>
      </c>
      <c r="P180" s="117">
        <v>12.0</v>
      </c>
      <c r="Q180" s="117">
        <v>1.0</v>
      </c>
      <c r="R180" s="114"/>
      <c r="S180" s="114"/>
      <c r="T180" s="114"/>
      <c r="U180" s="114"/>
      <c r="V180" s="114"/>
      <c r="W180" s="114"/>
      <c r="X180" s="114"/>
      <c r="Y180" s="114"/>
      <c r="Z180" s="114">
        <v>1.0</v>
      </c>
      <c r="AA180" s="114">
        <v>1.0</v>
      </c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 t="str">
        <f t="shared" si="68"/>
        <v>#REF!</v>
      </c>
      <c r="AQ180" s="118">
        <v>45436.0</v>
      </c>
      <c r="AR180" s="118">
        <v>45436.0</v>
      </c>
      <c r="AS180" s="118">
        <f t="shared" si="66"/>
        <v>45801</v>
      </c>
      <c r="AT180" s="118" t="s">
        <v>748</v>
      </c>
      <c r="AU180" s="118" t="s">
        <v>98</v>
      </c>
      <c r="AV180" s="118" t="s">
        <v>98</v>
      </c>
      <c r="AW180" s="118" t="s">
        <v>98</v>
      </c>
      <c r="AX180" s="118" t="s">
        <v>99</v>
      </c>
      <c r="AY180" s="114" t="str">
        <f t="shared" si="69"/>
        <v>#REF!</v>
      </c>
      <c r="AZ180" s="118">
        <f t="shared" si="59"/>
        <v>46171</v>
      </c>
      <c r="BA180" s="118"/>
    </row>
    <row r="181" ht="30.75" customHeight="1">
      <c r="A181" s="114" t="s">
        <v>81</v>
      </c>
      <c r="B181" s="115" t="s">
        <v>82</v>
      </c>
      <c r="C181" s="116" t="s">
        <v>83</v>
      </c>
      <c r="D181" s="114">
        <v>70.0</v>
      </c>
      <c r="E181" s="117" t="s">
        <v>108</v>
      </c>
      <c r="F181" s="114" t="s">
        <v>98</v>
      </c>
      <c r="G181" s="114" t="s">
        <v>672</v>
      </c>
      <c r="H181" s="114" t="s">
        <v>98</v>
      </c>
      <c r="I181" s="114" t="s">
        <v>88</v>
      </c>
      <c r="J181" s="114" t="s">
        <v>719</v>
      </c>
      <c r="K181" s="114" t="s">
        <v>666</v>
      </c>
      <c r="L181" s="114" t="s">
        <v>749</v>
      </c>
      <c r="M181" s="114" t="s">
        <v>750</v>
      </c>
      <c r="N181" s="114" t="s">
        <v>677</v>
      </c>
      <c r="O181" s="114" t="s">
        <v>678</v>
      </c>
      <c r="P181" s="117">
        <v>12.0</v>
      </c>
      <c r="Q181" s="117">
        <v>1.0</v>
      </c>
      <c r="R181" s="114"/>
      <c r="S181" s="114"/>
      <c r="T181" s="114"/>
      <c r="U181" s="114"/>
      <c r="V181" s="114">
        <v>1.0</v>
      </c>
      <c r="W181" s="114">
        <v>1.0</v>
      </c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 t="str">
        <f t="shared" si="68"/>
        <v>#REF!</v>
      </c>
      <c r="AQ181" s="118">
        <v>45000.0</v>
      </c>
      <c r="AR181" s="118">
        <v>45000.0</v>
      </c>
      <c r="AS181" s="118">
        <f t="shared" si="66"/>
        <v>45366</v>
      </c>
      <c r="AT181" s="121">
        <v>230514.0</v>
      </c>
      <c r="AU181" s="118" t="s">
        <v>98</v>
      </c>
      <c r="AV181" s="118" t="s">
        <v>98</v>
      </c>
      <c r="AW181" s="118" t="s">
        <v>98</v>
      </c>
      <c r="AX181" s="118" t="s">
        <v>716</v>
      </c>
      <c r="AY181" s="114" t="str">
        <f t="shared" si="69"/>
        <v>#REF!</v>
      </c>
      <c r="AZ181" s="118">
        <f t="shared" si="59"/>
        <v>46171</v>
      </c>
      <c r="BA181" s="118"/>
    </row>
    <row r="182" ht="30.75" customHeight="1">
      <c r="A182" s="93"/>
      <c r="B182" s="94" t="s">
        <v>107</v>
      </c>
      <c r="C182" s="110" t="s">
        <v>83</v>
      </c>
      <c r="D182" s="93">
        <v>23.0</v>
      </c>
      <c r="E182" s="111" t="s">
        <v>108</v>
      </c>
      <c r="F182" s="93" t="s">
        <v>98</v>
      </c>
      <c r="G182" s="93" t="s">
        <v>161</v>
      </c>
      <c r="H182" s="93" t="s">
        <v>751</v>
      </c>
      <c r="I182" s="93" t="s">
        <v>88</v>
      </c>
      <c r="J182" s="93" t="s">
        <v>752</v>
      </c>
      <c r="K182" s="93" t="s">
        <v>146</v>
      </c>
      <c r="L182" s="93" t="s">
        <v>98</v>
      </c>
      <c r="M182" s="93" t="s">
        <v>98</v>
      </c>
      <c r="N182" s="93" t="s">
        <v>98</v>
      </c>
      <c r="O182" s="93" t="s">
        <v>753</v>
      </c>
      <c r="P182" s="111">
        <v>12.0</v>
      </c>
      <c r="Q182" s="111" t="s">
        <v>98</v>
      </c>
      <c r="R182" s="93" t="s">
        <v>98</v>
      </c>
      <c r="S182" s="93" t="s">
        <v>98</v>
      </c>
      <c r="T182" s="93" t="s">
        <v>98</v>
      </c>
      <c r="U182" s="93" t="s">
        <v>98</v>
      </c>
      <c r="V182" s="93" t="s">
        <v>98</v>
      </c>
      <c r="W182" s="93" t="s">
        <v>98</v>
      </c>
      <c r="X182" s="93" t="s">
        <v>98</v>
      </c>
      <c r="Y182" s="93" t="s">
        <v>98</v>
      </c>
      <c r="Z182" s="93" t="s">
        <v>98</v>
      </c>
      <c r="AA182" s="93" t="s">
        <v>98</v>
      </c>
      <c r="AB182" s="93" t="s">
        <v>98</v>
      </c>
      <c r="AC182" s="93" t="s">
        <v>98</v>
      </c>
      <c r="AD182" s="93" t="s">
        <v>98</v>
      </c>
      <c r="AE182" s="93" t="s">
        <v>98</v>
      </c>
      <c r="AF182" s="93" t="s">
        <v>98</v>
      </c>
      <c r="AG182" s="93" t="s">
        <v>98</v>
      </c>
      <c r="AH182" s="93" t="s">
        <v>98</v>
      </c>
      <c r="AI182" s="93" t="s">
        <v>98</v>
      </c>
      <c r="AJ182" s="93" t="s">
        <v>98</v>
      </c>
      <c r="AK182" s="93" t="s">
        <v>98</v>
      </c>
      <c r="AL182" s="93" t="s">
        <v>98</v>
      </c>
      <c r="AM182" s="93" t="s">
        <v>98</v>
      </c>
      <c r="AN182" s="93" t="s">
        <v>98</v>
      </c>
      <c r="AO182" s="93" t="s">
        <v>98</v>
      </c>
      <c r="AP182" s="93" t="str">
        <f t="shared" si="68"/>
        <v>#REF!</v>
      </c>
      <c r="AQ182" s="95" t="s">
        <v>98</v>
      </c>
      <c r="AR182" s="95" t="s">
        <v>98</v>
      </c>
      <c r="AS182" s="95" t="str">
        <f t="shared" si="66"/>
        <v>#VALUE!</v>
      </c>
      <c r="AT182" s="96" t="s">
        <v>98</v>
      </c>
      <c r="AU182" s="95" t="s">
        <v>98</v>
      </c>
      <c r="AV182" s="95" t="s">
        <v>98</v>
      </c>
      <c r="AW182" s="95" t="s">
        <v>98</v>
      </c>
      <c r="AX182" s="93" t="s">
        <v>113</v>
      </c>
      <c r="AY182" s="93" t="str">
        <f t="shared" si="69"/>
        <v>#REF!</v>
      </c>
      <c r="AZ182" s="95">
        <f t="shared" si="59"/>
        <v>46171</v>
      </c>
      <c r="BA182" s="95"/>
    </row>
    <row r="183" ht="30.75" customHeight="1">
      <c r="A183" s="114" t="s">
        <v>81</v>
      </c>
      <c r="B183" s="115" t="s">
        <v>82</v>
      </c>
      <c r="C183" s="116" t="s">
        <v>83</v>
      </c>
      <c r="D183" s="114">
        <v>24.0</v>
      </c>
      <c r="E183" s="117" t="s">
        <v>108</v>
      </c>
      <c r="F183" s="114" t="s">
        <v>754</v>
      </c>
      <c r="G183" s="114" t="s">
        <v>86</v>
      </c>
      <c r="H183" s="114" t="s">
        <v>755</v>
      </c>
      <c r="I183" s="114" t="s">
        <v>88</v>
      </c>
      <c r="J183" s="114" t="s">
        <v>756</v>
      </c>
      <c r="K183" s="114" t="s">
        <v>146</v>
      </c>
      <c r="L183" s="114" t="s">
        <v>757</v>
      </c>
      <c r="M183" s="114" t="s">
        <v>758</v>
      </c>
      <c r="N183" s="114" t="s">
        <v>98</v>
      </c>
      <c r="O183" s="114" t="s">
        <v>94</v>
      </c>
      <c r="P183" s="117">
        <v>12.0</v>
      </c>
      <c r="Q183" s="117">
        <v>1.0</v>
      </c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>
        <v>1.0</v>
      </c>
      <c r="AC183" s="114">
        <v>1.0</v>
      </c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 t="str">
        <f t="shared" si="68"/>
        <v>#REF!</v>
      </c>
      <c r="AQ183" s="118" t="s">
        <v>95</v>
      </c>
      <c r="AR183" s="118" t="s">
        <v>95</v>
      </c>
      <c r="AS183" s="118" t="s">
        <v>96</v>
      </c>
      <c r="AT183" s="121" t="s">
        <v>759</v>
      </c>
      <c r="AU183" s="114" t="s">
        <v>760</v>
      </c>
      <c r="AV183" s="114" t="s">
        <v>761</v>
      </c>
      <c r="AW183" s="114" t="s">
        <v>762</v>
      </c>
      <c r="AX183" s="118" t="s">
        <v>99</v>
      </c>
      <c r="AY183" s="114" t="str">
        <f t="shared" si="69"/>
        <v>#REF!</v>
      </c>
      <c r="AZ183" s="118">
        <f t="shared" si="59"/>
        <v>46171</v>
      </c>
      <c r="BA183" s="118"/>
    </row>
    <row r="184" ht="30.75" customHeight="1">
      <c r="A184" s="114" t="s">
        <v>81</v>
      </c>
      <c r="B184" s="115" t="s">
        <v>82</v>
      </c>
      <c r="C184" s="116" t="s">
        <v>83</v>
      </c>
      <c r="D184" s="114">
        <v>25.0</v>
      </c>
      <c r="E184" s="117" t="s">
        <v>108</v>
      </c>
      <c r="F184" s="114" t="s">
        <v>763</v>
      </c>
      <c r="G184" s="114" t="s">
        <v>86</v>
      </c>
      <c r="H184" s="114" t="s">
        <v>764</v>
      </c>
      <c r="I184" s="114" t="s">
        <v>88</v>
      </c>
      <c r="J184" s="114" t="s">
        <v>756</v>
      </c>
      <c r="K184" s="114" t="s">
        <v>146</v>
      </c>
      <c r="L184" s="114" t="s">
        <v>765</v>
      </c>
      <c r="M184" s="114">
        <v>870873.0</v>
      </c>
      <c r="N184" s="114" t="s">
        <v>98</v>
      </c>
      <c r="O184" s="114" t="s">
        <v>94</v>
      </c>
      <c r="P184" s="117">
        <v>12.0</v>
      </c>
      <c r="Q184" s="117">
        <v>1.0</v>
      </c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>
        <v>1.0</v>
      </c>
      <c r="AC184" s="114">
        <v>1.0</v>
      </c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 t="str">
        <f t="shared" si="68"/>
        <v>#REF!</v>
      </c>
      <c r="AQ184" s="118" t="s">
        <v>95</v>
      </c>
      <c r="AR184" s="118" t="s">
        <v>95</v>
      </c>
      <c r="AS184" s="118" t="s">
        <v>96</v>
      </c>
      <c r="AT184" s="121" t="s">
        <v>766</v>
      </c>
      <c r="AU184" s="118" t="s">
        <v>98</v>
      </c>
      <c r="AV184" s="118" t="s">
        <v>98</v>
      </c>
      <c r="AW184" s="118" t="s">
        <v>98</v>
      </c>
      <c r="AX184" s="118" t="s">
        <v>113</v>
      </c>
      <c r="AY184" s="114" t="str">
        <f t="shared" si="69"/>
        <v>#REF!</v>
      </c>
      <c r="AZ184" s="118">
        <f t="shared" si="59"/>
        <v>46171</v>
      </c>
      <c r="BA184" s="118"/>
    </row>
    <row r="185" ht="30.75" customHeight="1">
      <c r="A185" s="114" t="s">
        <v>81</v>
      </c>
      <c r="B185" s="115" t="s">
        <v>82</v>
      </c>
      <c r="C185" s="116" t="s">
        <v>83</v>
      </c>
      <c r="D185" s="114">
        <v>26.0</v>
      </c>
      <c r="E185" s="117" t="s">
        <v>108</v>
      </c>
      <c r="F185" s="114" t="s">
        <v>767</v>
      </c>
      <c r="G185" s="114" t="s">
        <v>86</v>
      </c>
      <c r="H185" s="114" t="s">
        <v>768</v>
      </c>
      <c r="I185" s="114" t="s">
        <v>88</v>
      </c>
      <c r="J185" s="114" t="s">
        <v>756</v>
      </c>
      <c r="K185" s="114" t="s">
        <v>146</v>
      </c>
      <c r="L185" s="114" t="s">
        <v>769</v>
      </c>
      <c r="M185" s="114">
        <v>860.121</v>
      </c>
      <c r="N185" s="114" t="s">
        <v>207</v>
      </c>
      <c r="O185" s="114" t="s">
        <v>94</v>
      </c>
      <c r="P185" s="117">
        <v>12.0</v>
      </c>
      <c r="Q185" s="117">
        <v>1.0</v>
      </c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>
        <v>1.0</v>
      </c>
      <c r="AC185" s="114">
        <v>1.0</v>
      </c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8" t="s">
        <v>95</v>
      </c>
      <c r="AR185" s="118" t="s">
        <v>95</v>
      </c>
      <c r="AS185" s="118" t="s">
        <v>96</v>
      </c>
      <c r="AT185" s="118" t="s">
        <v>770</v>
      </c>
      <c r="AU185" s="118" t="s">
        <v>98</v>
      </c>
      <c r="AV185" s="118" t="s">
        <v>98</v>
      </c>
      <c r="AW185" s="118" t="s">
        <v>98</v>
      </c>
      <c r="AX185" s="118" t="s">
        <v>113</v>
      </c>
      <c r="AY185" s="114" t="str">
        <f t="shared" si="69"/>
        <v>#REF!</v>
      </c>
      <c r="AZ185" s="118">
        <f t="shared" si="59"/>
        <v>46171</v>
      </c>
      <c r="BA185" s="118"/>
    </row>
    <row r="186" ht="30.75" customHeight="1">
      <c r="A186" s="114" t="s">
        <v>81</v>
      </c>
      <c r="B186" s="115" t="s">
        <v>82</v>
      </c>
      <c r="C186" s="116" t="s">
        <v>83</v>
      </c>
      <c r="D186" s="114">
        <v>27.0</v>
      </c>
      <c r="E186" s="117" t="s">
        <v>108</v>
      </c>
      <c r="F186" s="114" t="s">
        <v>771</v>
      </c>
      <c r="G186" s="114" t="s">
        <v>86</v>
      </c>
      <c r="H186" s="114"/>
      <c r="I186" s="114"/>
      <c r="J186" s="114" t="s">
        <v>772</v>
      </c>
      <c r="K186" s="114" t="s">
        <v>310</v>
      </c>
      <c r="L186" s="114" t="s">
        <v>773</v>
      </c>
      <c r="M186" s="114">
        <v>5.1034118E7</v>
      </c>
      <c r="N186" s="114" t="s">
        <v>774</v>
      </c>
      <c r="O186" s="114"/>
      <c r="P186" s="117">
        <v>12.0</v>
      </c>
      <c r="Q186" s="117">
        <v>1.0</v>
      </c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>
        <v>1.0</v>
      </c>
      <c r="AC186" s="114">
        <v>1.0</v>
      </c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 t="str">
        <f t="shared" ref="AP186:AP209" si="70">#REF!</f>
        <v>#REF!</v>
      </c>
      <c r="AQ186" s="118" t="s">
        <v>95</v>
      </c>
      <c r="AR186" s="118" t="s">
        <v>95</v>
      </c>
      <c r="AS186" s="118" t="s">
        <v>96</v>
      </c>
      <c r="AT186" s="121" t="s">
        <v>775</v>
      </c>
      <c r="AU186" s="114" t="s">
        <v>776</v>
      </c>
      <c r="AV186" s="114" t="s">
        <v>761</v>
      </c>
      <c r="AW186" s="114" t="s">
        <v>777</v>
      </c>
      <c r="AX186" s="118" t="s">
        <v>99</v>
      </c>
      <c r="AY186" s="114" t="str">
        <f t="shared" si="69"/>
        <v>#REF!</v>
      </c>
      <c r="AZ186" s="118">
        <f t="shared" si="59"/>
        <v>46171</v>
      </c>
      <c r="BA186" s="118"/>
    </row>
    <row r="187" ht="30.75" customHeight="1">
      <c r="A187" s="93" t="s">
        <v>81</v>
      </c>
      <c r="B187" s="94" t="s">
        <v>82</v>
      </c>
      <c r="C187" s="94" t="s">
        <v>83</v>
      </c>
      <c r="D187" s="93">
        <v>8.0</v>
      </c>
      <c r="E187" s="93" t="s">
        <v>116</v>
      </c>
      <c r="F187" s="93" t="s">
        <v>778</v>
      </c>
      <c r="G187" s="93" t="s">
        <v>86</v>
      </c>
      <c r="H187" s="93" t="s">
        <v>779</v>
      </c>
      <c r="I187" s="93" t="s">
        <v>118</v>
      </c>
      <c r="J187" s="93" t="s">
        <v>780</v>
      </c>
      <c r="K187" s="93" t="s">
        <v>781</v>
      </c>
      <c r="L187" s="93" t="s">
        <v>782</v>
      </c>
      <c r="M187" s="102" t="s">
        <v>783</v>
      </c>
      <c r="N187" s="93" t="s">
        <v>784</v>
      </c>
      <c r="O187" s="93" t="s">
        <v>94</v>
      </c>
      <c r="P187" s="93">
        <v>12.0</v>
      </c>
      <c r="Q187" s="93" t="s">
        <v>98</v>
      </c>
      <c r="R187" s="93"/>
      <c r="S187" s="93"/>
      <c r="T187" s="93"/>
      <c r="U187" s="93"/>
      <c r="V187" s="93">
        <v>1.0</v>
      </c>
      <c r="W187" s="93" t="s">
        <v>98</v>
      </c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 t="str">
        <f t="shared" si="70"/>
        <v>#REF!</v>
      </c>
      <c r="AQ187" s="95">
        <v>45000.0</v>
      </c>
      <c r="AR187" s="95">
        <v>45000.0</v>
      </c>
      <c r="AS187" s="95">
        <f t="shared" ref="AS187:AS212" si="71">DATE(YEAR(AQ187),MONTH(AQ187)+P187,DAY(AQ187))</f>
        <v>45366</v>
      </c>
      <c r="AT187" s="93" t="s">
        <v>98</v>
      </c>
      <c r="AU187" s="93" t="s">
        <v>98</v>
      </c>
      <c r="AV187" s="93" t="s">
        <v>98</v>
      </c>
      <c r="AW187" s="93" t="s">
        <v>98</v>
      </c>
      <c r="AX187" s="95" t="s">
        <v>99</v>
      </c>
      <c r="AY187" s="93" t="str">
        <f t="shared" si="69"/>
        <v>#REF!</v>
      </c>
      <c r="AZ187" s="95">
        <f t="shared" si="59"/>
        <v>46171</v>
      </c>
      <c r="BA187" s="95"/>
    </row>
    <row r="188" ht="30.75" customHeight="1">
      <c r="A188" s="93" t="s">
        <v>176</v>
      </c>
      <c r="B188" s="94"/>
      <c r="C188" s="94" t="s">
        <v>83</v>
      </c>
      <c r="D188" s="93">
        <v>12.0</v>
      </c>
      <c r="E188" s="93" t="s">
        <v>116</v>
      </c>
      <c r="F188" s="93" t="s">
        <v>785</v>
      </c>
      <c r="G188" s="93" t="s">
        <v>86</v>
      </c>
      <c r="H188" s="93" t="s">
        <v>786</v>
      </c>
      <c r="I188" s="93" t="s">
        <v>118</v>
      </c>
      <c r="J188" s="93" t="s">
        <v>780</v>
      </c>
      <c r="K188" s="93" t="s">
        <v>781</v>
      </c>
      <c r="L188" s="93" t="s">
        <v>787</v>
      </c>
      <c r="M188" s="102" t="s">
        <v>788</v>
      </c>
      <c r="N188" s="93" t="s">
        <v>789</v>
      </c>
      <c r="O188" s="93" t="s">
        <v>790</v>
      </c>
      <c r="P188" s="93"/>
      <c r="Q188" s="93" t="s">
        <v>98</v>
      </c>
      <c r="R188" s="93" t="s">
        <v>98</v>
      </c>
      <c r="S188" s="93" t="s">
        <v>98</v>
      </c>
      <c r="T188" s="93" t="s">
        <v>98</v>
      </c>
      <c r="U188" s="93" t="s">
        <v>98</v>
      </c>
      <c r="V188" s="93" t="s">
        <v>98</v>
      </c>
      <c r="W188" s="93" t="s">
        <v>98</v>
      </c>
      <c r="X188" s="93" t="s">
        <v>98</v>
      </c>
      <c r="Y188" s="93" t="s">
        <v>98</v>
      </c>
      <c r="Z188" s="93" t="s">
        <v>98</v>
      </c>
      <c r="AA188" s="93" t="s">
        <v>98</v>
      </c>
      <c r="AB188" s="93" t="s">
        <v>98</v>
      </c>
      <c r="AC188" s="93" t="s">
        <v>98</v>
      </c>
      <c r="AD188" s="93" t="s">
        <v>98</v>
      </c>
      <c r="AE188" s="93" t="s">
        <v>98</v>
      </c>
      <c r="AF188" s="93" t="s">
        <v>98</v>
      </c>
      <c r="AG188" s="93" t="s">
        <v>98</v>
      </c>
      <c r="AH188" s="93" t="s">
        <v>98</v>
      </c>
      <c r="AI188" s="93" t="s">
        <v>98</v>
      </c>
      <c r="AJ188" s="93" t="s">
        <v>98</v>
      </c>
      <c r="AK188" s="93" t="s">
        <v>98</v>
      </c>
      <c r="AL188" s="93" t="s">
        <v>98</v>
      </c>
      <c r="AM188" s="93" t="s">
        <v>98</v>
      </c>
      <c r="AN188" s="93" t="s">
        <v>98</v>
      </c>
      <c r="AO188" s="93" t="s">
        <v>98</v>
      </c>
      <c r="AP188" s="93" t="str">
        <f t="shared" si="70"/>
        <v>#REF!</v>
      </c>
      <c r="AQ188" s="95" t="s">
        <v>98</v>
      </c>
      <c r="AR188" s="95" t="s">
        <v>98</v>
      </c>
      <c r="AS188" s="95" t="str">
        <f t="shared" si="71"/>
        <v>#VALUE!</v>
      </c>
      <c r="AT188" s="93" t="s">
        <v>98</v>
      </c>
      <c r="AU188" s="93" t="s">
        <v>98</v>
      </c>
      <c r="AV188" s="93" t="s">
        <v>98</v>
      </c>
      <c r="AW188" s="93" t="s">
        <v>98</v>
      </c>
      <c r="AX188" s="95" t="s">
        <v>113</v>
      </c>
      <c r="AY188" s="93" t="str">
        <f t="shared" si="69"/>
        <v>#REF!</v>
      </c>
      <c r="AZ188" s="95"/>
      <c r="BA188" s="95"/>
    </row>
    <row r="189" ht="30.75" customHeight="1">
      <c r="A189" s="93" t="s">
        <v>176</v>
      </c>
      <c r="B189" s="94"/>
      <c r="C189" s="94" t="s">
        <v>83</v>
      </c>
      <c r="D189" s="93">
        <v>9.0</v>
      </c>
      <c r="E189" s="93" t="s">
        <v>116</v>
      </c>
      <c r="F189" s="93" t="s">
        <v>791</v>
      </c>
      <c r="G189" s="93"/>
      <c r="H189" s="93"/>
      <c r="I189" s="93" t="s">
        <v>118</v>
      </c>
      <c r="J189" s="93" t="s">
        <v>780</v>
      </c>
      <c r="K189" s="93"/>
      <c r="L189" s="93"/>
      <c r="M189" s="102"/>
      <c r="N189" s="93"/>
      <c r="O189" s="93" t="s">
        <v>94</v>
      </c>
      <c r="P189" s="93">
        <v>12.0</v>
      </c>
      <c r="Q189" s="93" t="s">
        <v>98</v>
      </c>
      <c r="R189" s="93"/>
      <c r="S189" s="93"/>
      <c r="T189" s="93"/>
      <c r="U189" s="93"/>
      <c r="V189" s="93">
        <v>1.0</v>
      </c>
      <c r="W189" s="93" t="s">
        <v>98</v>
      </c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 t="str">
        <f t="shared" si="70"/>
        <v>#REF!</v>
      </c>
      <c r="AQ189" s="95">
        <v>45000.0</v>
      </c>
      <c r="AR189" s="95">
        <v>45000.0</v>
      </c>
      <c r="AS189" s="95">
        <f t="shared" si="71"/>
        <v>45366</v>
      </c>
      <c r="AT189" s="93" t="s">
        <v>98</v>
      </c>
      <c r="AU189" s="93" t="s">
        <v>98</v>
      </c>
      <c r="AV189" s="93" t="s">
        <v>98</v>
      </c>
      <c r="AW189" s="93" t="s">
        <v>98</v>
      </c>
      <c r="AX189" s="95" t="s">
        <v>99</v>
      </c>
      <c r="AY189" s="93" t="str">
        <f t="shared" si="69"/>
        <v>#REF!</v>
      </c>
      <c r="AZ189" s="95">
        <f t="shared" ref="AZ189:AZ212" si="72">TODAY()</f>
        <v>46171</v>
      </c>
      <c r="BA189" s="95"/>
    </row>
    <row r="190" ht="30.75" customHeight="1">
      <c r="A190" s="93" t="s">
        <v>81</v>
      </c>
      <c r="B190" s="94" t="s">
        <v>82</v>
      </c>
      <c r="C190" s="94" t="s">
        <v>83</v>
      </c>
      <c r="D190" s="93">
        <v>7.0</v>
      </c>
      <c r="E190" s="93" t="s">
        <v>116</v>
      </c>
      <c r="F190" s="93" t="s">
        <v>792</v>
      </c>
      <c r="G190" s="93" t="s">
        <v>86</v>
      </c>
      <c r="H190" s="93" t="s">
        <v>793</v>
      </c>
      <c r="I190" s="93" t="s">
        <v>118</v>
      </c>
      <c r="J190" s="93" t="s">
        <v>780</v>
      </c>
      <c r="K190" s="93" t="s">
        <v>781</v>
      </c>
      <c r="L190" s="93" t="s">
        <v>782</v>
      </c>
      <c r="M190" s="102" t="s">
        <v>794</v>
      </c>
      <c r="N190" s="93" t="s">
        <v>784</v>
      </c>
      <c r="O190" s="93" t="s">
        <v>94</v>
      </c>
      <c r="P190" s="93">
        <v>12.0</v>
      </c>
      <c r="Q190" s="93" t="s">
        <v>98</v>
      </c>
      <c r="R190" s="93"/>
      <c r="S190" s="93"/>
      <c r="T190" s="93"/>
      <c r="U190" s="93"/>
      <c r="V190" s="93">
        <v>1.0</v>
      </c>
      <c r="W190" s="93" t="s">
        <v>98</v>
      </c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 t="str">
        <f t="shared" si="70"/>
        <v>#REF!</v>
      </c>
      <c r="AQ190" s="95">
        <v>45000.0</v>
      </c>
      <c r="AR190" s="95">
        <v>45000.0</v>
      </c>
      <c r="AS190" s="95">
        <f t="shared" si="71"/>
        <v>45366</v>
      </c>
      <c r="AT190" s="93" t="s">
        <v>98</v>
      </c>
      <c r="AU190" s="93" t="s">
        <v>98</v>
      </c>
      <c r="AV190" s="93" t="s">
        <v>98</v>
      </c>
      <c r="AW190" s="93" t="s">
        <v>98</v>
      </c>
      <c r="AX190" s="95" t="s">
        <v>99</v>
      </c>
      <c r="AY190" s="93" t="str">
        <f t="shared" si="69"/>
        <v>#REF!</v>
      </c>
      <c r="AZ190" s="95">
        <f t="shared" si="72"/>
        <v>46171</v>
      </c>
      <c r="BA190" s="95"/>
    </row>
    <row r="191" ht="30.75" customHeight="1">
      <c r="A191" s="93" t="s">
        <v>81</v>
      </c>
      <c r="B191" s="94" t="s">
        <v>82</v>
      </c>
      <c r="C191" s="94" t="s">
        <v>83</v>
      </c>
      <c r="D191" s="93">
        <v>10.0</v>
      </c>
      <c r="E191" s="93" t="s">
        <v>116</v>
      </c>
      <c r="F191" s="93" t="s">
        <v>795</v>
      </c>
      <c r="G191" s="93" t="s">
        <v>86</v>
      </c>
      <c r="H191" s="93"/>
      <c r="I191" s="93" t="s">
        <v>118</v>
      </c>
      <c r="J191" s="93" t="s">
        <v>780</v>
      </c>
      <c r="K191" s="93"/>
      <c r="L191" s="93"/>
      <c r="M191" s="102"/>
      <c r="N191" s="93"/>
      <c r="O191" s="93" t="s">
        <v>94</v>
      </c>
      <c r="P191" s="93">
        <v>12.0</v>
      </c>
      <c r="Q191" s="93" t="s">
        <v>98</v>
      </c>
      <c r="R191" s="93"/>
      <c r="S191" s="93"/>
      <c r="T191" s="93"/>
      <c r="U191" s="93"/>
      <c r="V191" s="93">
        <v>1.0</v>
      </c>
      <c r="W191" s="93" t="s">
        <v>98</v>
      </c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 t="str">
        <f t="shared" si="70"/>
        <v>#REF!</v>
      </c>
      <c r="AQ191" s="95">
        <v>45000.0</v>
      </c>
      <c r="AR191" s="95">
        <v>45000.0</v>
      </c>
      <c r="AS191" s="95">
        <f t="shared" si="71"/>
        <v>45366</v>
      </c>
      <c r="AT191" s="93" t="s">
        <v>98</v>
      </c>
      <c r="AU191" s="93" t="s">
        <v>98</v>
      </c>
      <c r="AV191" s="93" t="s">
        <v>98</v>
      </c>
      <c r="AW191" s="93" t="s">
        <v>98</v>
      </c>
      <c r="AX191" s="95" t="s">
        <v>99</v>
      </c>
      <c r="AY191" s="93" t="str">
        <f t="shared" si="69"/>
        <v>#REF!</v>
      </c>
      <c r="AZ191" s="95">
        <f t="shared" si="72"/>
        <v>46171</v>
      </c>
      <c r="BA191" s="95"/>
    </row>
    <row r="192" ht="30.75" customHeight="1">
      <c r="A192" s="93" t="s">
        <v>176</v>
      </c>
      <c r="B192" s="94"/>
      <c r="C192" s="94" t="s">
        <v>83</v>
      </c>
      <c r="D192" s="93">
        <v>11.0</v>
      </c>
      <c r="E192" s="93" t="s">
        <v>116</v>
      </c>
      <c r="F192" s="93" t="s">
        <v>98</v>
      </c>
      <c r="G192" s="93" t="s">
        <v>86</v>
      </c>
      <c r="H192" s="93" t="s">
        <v>796</v>
      </c>
      <c r="I192" s="93" t="s">
        <v>118</v>
      </c>
      <c r="J192" s="93" t="s">
        <v>780</v>
      </c>
      <c r="K192" s="93"/>
      <c r="L192" s="93"/>
      <c r="M192" s="102"/>
      <c r="N192" s="93"/>
      <c r="O192" s="93" t="s">
        <v>790</v>
      </c>
      <c r="P192" s="93"/>
      <c r="Q192" s="93" t="s">
        <v>98</v>
      </c>
      <c r="R192" s="93" t="s">
        <v>98</v>
      </c>
      <c r="S192" s="93" t="s">
        <v>98</v>
      </c>
      <c r="T192" s="93" t="s">
        <v>98</v>
      </c>
      <c r="U192" s="93" t="s">
        <v>98</v>
      </c>
      <c r="V192" s="93" t="s">
        <v>98</v>
      </c>
      <c r="W192" s="93" t="s">
        <v>98</v>
      </c>
      <c r="X192" s="93" t="s">
        <v>98</v>
      </c>
      <c r="Y192" s="93" t="s">
        <v>98</v>
      </c>
      <c r="Z192" s="93" t="s">
        <v>98</v>
      </c>
      <c r="AA192" s="93" t="s">
        <v>98</v>
      </c>
      <c r="AB192" s="93" t="s">
        <v>98</v>
      </c>
      <c r="AC192" s="93" t="s">
        <v>98</v>
      </c>
      <c r="AD192" s="93" t="s">
        <v>98</v>
      </c>
      <c r="AE192" s="93" t="s">
        <v>98</v>
      </c>
      <c r="AF192" s="93" t="s">
        <v>98</v>
      </c>
      <c r="AG192" s="93" t="s">
        <v>98</v>
      </c>
      <c r="AH192" s="93" t="s">
        <v>98</v>
      </c>
      <c r="AI192" s="93" t="s">
        <v>98</v>
      </c>
      <c r="AJ192" s="93" t="s">
        <v>98</v>
      </c>
      <c r="AK192" s="93" t="s">
        <v>98</v>
      </c>
      <c r="AL192" s="93" t="s">
        <v>98</v>
      </c>
      <c r="AM192" s="93" t="s">
        <v>98</v>
      </c>
      <c r="AN192" s="93" t="s">
        <v>98</v>
      </c>
      <c r="AO192" s="93" t="s">
        <v>98</v>
      </c>
      <c r="AP192" s="93" t="str">
        <f t="shared" si="70"/>
        <v>#REF!</v>
      </c>
      <c r="AQ192" s="95" t="s">
        <v>98</v>
      </c>
      <c r="AR192" s="95" t="s">
        <v>98</v>
      </c>
      <c r="AS192" s="95" t="str">
        <f t="shared" si="71"/>
        <v>#VALUE!</v>
      </c>
      <c r="AT192" s="93" t="s">
        <v>98</v>
      </c>
      <c r="AU192" s="93" t="s">
        <v>98</v>
      </c>
      <c r="AV192" s="93" t="s">
        <v>98</v>
      </c>
      <c r="AW192" s="93" t="s">
        <v>98</v>
      </c>
      <c r="AX192" s="95" t="s">
        <v>113</v>
      </c>
      <c r="AY192" s="93" t="str">
        <f t="shared" si="69"/>
        <v>#REF!</v>
      </c>
      <c r="AZ192" s="95">
        <f t="shared" si="72"/>
        <v>46171</v>
      </c>
      <c r="BA192" s="95"/>
    </row>
    <row r="193" ht="30.75" customHeight="1">
      <c r="A193" s="93" t="s">
        <v>114</v>
      </c>
      <c r="B193" s="94"/>
      <c r="C193" s="94" t="s">
        <v>83</v>
      </c>
      <c r="D193" s="93">
        <v>6.0</v>
      </c>
      <c r="E193" s="93" t="s">
        <v>153</v>
      </c>
      <c r="F193" s="93" t="s">
        <v>797</v>
      </c>
      <c r="G193" s="93" t="s">
        <v>86</v>
      </c>
      <c r="H193" s="93" t="s">
        <v>798</v>
      </c>
      <c r="I193" s="93" t="s">
        <v>118</v>
      </c>
      <c r="J193" s="93" t="s">
        <v>780</v>
      </c>
      <c r="K193" s="93" t="s">
        <v>781</v>
      </c>
      <c r="L193" s="93" t="s">
        <v>799</v>
      </c>
      <c r="M193" s="93" t="s">
        <v>800</v>
      </c>
      <c r="N193" s="93" t="s">
        <v>98</v>
      </c>
      <c r="O193" s="93" t="s">
        <v>94</v>
      </c>
      <c r="P193" s="93">
        <v>12.0</v>
      </c>
      <c r="Q193" s="93" t="s">
        <v>98</v>
      </c>
      <c r="R193" s="93"/>
      <c r="S193" s="93"/>
      <c r="T193" s="93"/>
      <c r="U193" s="93"/>
      <c r="V193" s="93">
        <v>1.0</v>
      </c>
      <c r="W193" s="93" t="s">
        <v>98</v>
      </c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 t="str">
        <f t="shared" si="70"/>
        <v>#REF!</v>
      </c>
      <c r="AQ193" s="95">
        <v>45000.0</v>
      </c>
      <c r="AR193" s="95" t="s">
        <v>98</v>
      </c>
      <c r="AS193" s="95">
        <f t="shared" si="71"/>
        <v>45366</v>
      </c>
      <c r="AT193" s="93" t="s">
        <v>98</v>
      </c>
      <c r="AU193" s="93"/>
      <c r="AV193" s="93"/>
      <c r="AW193" s="93"/>
      <c r="AX193" s="93" t="s">
        <v>99</v>
      </c>
      <c r="AY193" s="93" t="str">
        <f t="shared" si="69"/>
        <v>#REF!</v>
      </c>
      <c r="AZ193" s="95">
        <f t="shared" si="72"/>
        <v>46171</v>
      </c>
      <c r="BA193" s="95"/>
    </row>
    <row r="194" ht="30.75" customHeight="1">
      <c r="A194" s="93" t="s">
        <v>176</v>
      </c>
      <c r="B194" s="94" t="s">
        <v>107</v>
      </c>
      <c r="C194" s="110" t="s">
        <v>83</v>
      </c>
      <c r="D194" s="111">
        <v>6.0</v>
      </c>
      <c r="E194" s="93" t="s">
        <v>340</v>
      </c>
      <c r="F194" s="93" t="s">
        <v>801</v>
      </c>
      <c r="G194" s="93" t="s">
        <v>86</v>
      </c>
      <c r="H194" s="93" t="s">
        <v>802</v>
      </c>
      <c r="I194" s="93" t="s">
        <v>118</v>
      </c>
      <c r="J194" s="93" t="s">
        <v>780</v>
      </c>
      <c r="K194" s="93" t="s">
        <v>803</v>
      </c>
      <c r="L194" s="93" t="s">
        <v>804</v>
      </c>
      <c r="M194" s="111">
        <v>248277.0</v>
      </c>
      <c r="N194" s="111" t="s">
        <v>789</v>
      </c>
      <c r="O194" s="93" t="s">
        <v>805</v>
      </c>
      <c r="P194" s="111">
        <v>1.0</v>
      </c>
      <c r="Q194" s="111" t="s">
        <v>98</v>
      </c>
      <c r="R194" s="111" t="s">
        <v>98</v>
      </c>
      <c r="S194" s="111" t="s">
        <v>98</v>
      </c>
      <c r="T194" s="111" t="s">
        <v>98</v>
      </c>
      <c r="U194" s="111" t="s">
        <v>98</v>
      </c>
      <c r="V194" s="111" t="s">
        <v>98</v>
      </c>
      <c r="W194" s="111" t="s">
        <v>98</v>
      </c>
      <c r="X194" s="111" t="s">
        <v>98</v>
      </c>
      <c r="Y194" s="111" t="s">
        <v>98</v>
      </c>
      <c r="Z194" s="111" t="s">
        <v>98</v>
      </c>
      <c r="AA194" s="111" t="s">
        <v>98</v>
      </c>
      <c r="AB194" s="111" t="s">
        <v>98</v>
      </c>
      <c r="AC194" s="111" t="s">
        <v>98</v>
      </c>
      <c r="AD194" s="111" t="s">
        <v>98</v>
      </c>
      <c r="AE194" s="111" t="s">
        <v>98</v>
      </c>
      <c r="AF194" s="111" t="s">
        <v>98</v>
      </c>
      <c r="AG194" s="111" t="s">
        <v>98</v>
      </c>
      <c r="AH194" s="111" t="s">
        <v>98</v>
      </c>
      <c r="AI194" s="111" t="s">
        <v>98</v>
      </c>
      <c r="AJ194" s="111" t="s">
        <v>98</v>
      </c>
      <c r="AK194" s="111" t="s">
        <v>98</v>
      </c>
      <c r="AL194" s="111" t="s">
        <v>98</v>
      </c>
      <c r="AM194" s="111" t="s">
        <v>98</v>
      </c>
      <c r="AN194" s="111" t="s">
        <v>98</v>
      </c>
      <c r="AO194" s="111" t="s">
        <v>98</v>
      </c>
      <c r="AP194" s="93" t="str">
        <f t="shared" si="70"/>
        <v>#REF!</v>
      </c>
      <c r="AQ194" s="105">
        <v>45000.0</v>
      </c>
      <c r="AR194" s="105">
        <v>45000.0</v>
      </c>
      <c r="AS194" s="105">
        <f t="shared" si="71"/>
        <v>45031</v>
      </c>
      <c r="AT194" s="105" t="s">
        <v>98</v>
      </c>
      <c r="AU194" s="112" t="s">
        <v>98</v>
      </c>
      <c r="AV194" s="105" t="s">
        <v>98</v>
      </c>
      <c r="AW194" s="105" t="s">
        <v>98</v>
      </c>
      <c r="AX194" s="105" t="s">
        <v>113</v>
      </c>
      <c r="AY194" s="111" t="str">
        <f t="shared" si="69"/>
        <v>#REF!</v>
      </c>
      <c r="AZ194" s="105">
        <f t="shared" si="72"/>
        <v>46171</v>
      </c>
      <c r="BA194" s="95"/>
    </row>
    <row r="195" ht="30.75" customHeight="1">
      <c r="A195" s="93" t="s">
        <v>81</v>
      </c>
      <c r="B195" s="94" t="s">
        <v>82</v>
      </c>
      <c r="C195" s="110" t="s">
        <v>83</v>
      </c>
      <c r="D195" s="111">
        <v>8.0</v>
      </c>
      <c r="E195" s="93" t="s">
        <v>340</v>
      </c>
      <c r="F195" s="93" t="s">
        <v>806</v>
      </c>
      <c r="G195" s="93" t="s">
        <v>86</v>
      </c>
      <c r="H195" s="93" t="s">
        <v>807</v>
      </c>
      <c r="I195" s="93" t="s">
        <v>118</v>
      </c>
      <c r="J195" s="93" t="s">
        <v>780</v>
      </c>
      <c r="K195" s="93" t="s">
        <v>781</v>
      </c>
      <c r="L195" s="93" t="s">
        <v>808</v>
      </c>
      <c r="M195" s="111" t="s">
        <v>809</v>
      </c>
      <c r="N195" s="111" t="s">
        <v>789</v>
      </c>
      <c r="O195" s="93" t="s">
        <v>94</v>
      </c>
      <c r="P195" s="111">
        <v>1.0</v>
      </c>
      <c r="Q195" s="111">
        <v>1.0</v>
      </c>
      <c r="R195" s="111" t="s">
        <v>98</v>
      </c>
      <c r="S195" s="111" t="s">
        <v>98</v>
      </c>
      <c r="T195" s="111" t="s">
        <v>98</v>
      </c>
      <c r="U195" s="111" t="s">
        <v>98</v>
      </c>
      <c r="V195" s="111" t="s">
        <v>98</v>
      </c>
      <c r="W195" s="111" t="s">
        <v>98</v>
      </c>
      <c r="X195" s="111" t="s">
        <v>98</v>
      </c>
      <c r="Y195" s="111" t="s">
        <v>98</v>
      </c>
      <c r="Z195" s="111" t="s">
        <v>98</v>
      </c>
      <c r="AA195" s="111" t="s">
        <v>98</v>
      </c>
      <c r="AB195" s="111" t="s">
        <v>98</v>
      </c>
      <c r="AC195" s="111" t="s">
        <v>98</v>
      </c>
      <c r="AD195" s="111" t="s">
        <v>98</v>
      </c>
      <c r="AE195" s="111" t="s">
        <v>98</v>
      </c>
      <c r="AF195" s="111" t="s">
        <v>98</v>
      </c>
      <c r="AG195" s="111" t="s">
        <v>98</v>
      </c>
      <c r="AH195" s="111" t="s">
        <v>98</v>
      </c>
      <c r="AI195" s="111" t="s">
        <v>98</v>
      </c>
      <c r="AJ195" s="111" t="s">
        <v>98</v>
      </c>
      <c r="AK195" s="111" t="s">
        <v>98</v>
      </c>
      <c r="AL195" s="111" t="s">
        <v>98</v>
      </c>
      <c r="AM195" s="111" t="s">
        <v>98</v>
      </c>
      <c r="AN195" s="111" t="s">
        <v>98</v>
      </c>
      <c r="AO195" s="111" t="s">
        <v>98</v>
      </c>
      <c r="AP195" s="93" t="str">
        <f t="shared" si="70"/>
        <v>#REF!</v>
      </c>
      <c r="AQ195" s="105">
        <v>45000.0</v>
      </c>
      <c r="AR195" s="105">
        <v>45000.0</v>
      </c>
      <c r="AS195" s="105">
        <f t="shared" si="71"/>
        <v>45031</v>
      </c>
      <c r="AT195" s="105" t="s">
        <v>98</v>
      </c>
      <c r="AU195" s="112" t="s">
        <v>98</v>
      </c>
      <c r="AV195" s="105" t="s">
        <v>98</v>
      </c>
      <c r="AW195" s="105" t="s">
        <v>98</v>
      </c>
      <c r="AX195" s="105" t="s">
        <v>113</v>
      </c>
      <c r="AY195" s="111" t="str">
        <f t="shared" si="69"/>
        <v>#REF!</v>
      </c>
      <c r="AZ195" s="105">
        <f t="shared" si="72"/>
        <v>46171</v>
      </c>
      <c r="BA195" s="95"/>
    </row>
    <row r="196" ht="30.75" customHeight="1">
      <c r="A196" s="93" t="s">
        <v>81</v>
      </c>
      <c r="B196" s="94" t="s">
        <v>82</v>
      </c>
      <c r="C196" s="110" t="s">
        <v>83</v>
      </c>
      <c r="D196" s="111">
        <v>5.0</v>
      </c>
      <c r="E196" s="93" t="s">
        <v>340</v>
      </c>
      <c r="F196" s="93" t="s">
        <v>810</v>
      </c>
      <c r="G196" s="93" t="s">
        <v>86</v>
      </c>
      <c r="H196" s="93" t="s">
        <v>811</v>
      </c>
      <c r="I196" s="93" t="s">
        <v>118</v>
      </c>
      <c r="J196" s="93" t="s">
        <v>780</v>
      </c>
      <c r="K196" s="93" t="s">
        <v>781</v>
      </c>
      <c r="L196" s="93" t="s">
        <v>799</v>
      </c>
      <c r="M196" s="111" t="s">
        <v>812</v>
      </c>
      <c r="N196" s="111" t="s">
        <v>789</v>
      </c>
      <c r="O196" s="93" t="s">
        <v>94</v>
      </c>
      <c r="P196" s="111">
        <v>1.0</v>
      </c>
      <c r="Q196" s="111">
        <v>1.0</v>
      </c>
      <c r="R196" s="111" t="s">
        <v>98</v>
      </c>
      <c r="S196" s="111" t="s">
        <v>98</v>
      </c>
      <c r="T196" s="111" t="s">
        <v>98</v>
      </c>
      <c r="U196" s="111" t="s">
        <v>98</v>
      </c>
      <c r="V196" s="111" t="s">
        <v>98</v>
      </c>
      <c r="W196" s="111" t="s">
        <v>98</v>
      </c>
      <c r="X196" s="111" t="s">
        <v>98</v>
      </c>
      <c r="Y196" s="111" t="s">
        <v>98</v>
      </c>
      <c r="Z196" s="111" t="s">
        <v>98</v>
      </c>
      <c r="AA196" s="111" t="s">
        <v>98</v>
      </c>
      <c r="AB196" s="111" t="s">
        <v>98</v>
      </c>
      <c r="AC196" s="111" t="s">
        <v>98</v>
      </c>
      <c r="AD196" s="111" t="s">
        <v>98</v>
      </c>
      <c r="AE196" s="111" t="s">
        <v>98</v>
      </c>
      <c r="AF196" s="111" t="s">
        <v>98</v>
      </c>
      <c r="AG196" s="111" t="s">
        <v>98</v>
      </c>
      <c r="AH196" s="111" t="s">
        <v>98</v>
      </c>
      <c r="AI196" s="111" t="s">
        <v>98</v>
      </c>
      <c r="AJ196" s="111" t="s">
        <v>98</v>
      </c>
      <c r="AK196" s="111" t="s">
        <v>98</v>
      </c>
      <c r="AL196" s="111" t="s">
        <v>98</v>
      </c>
      <c r="AM196" s="111" t="s">
        <v>98</v>
      </c>
      <c r="AN196" s="111" t="s">
        <v>98</v>
      </c>
      <c r="AO196" s="111" t="s">
        <v>98</v>
      </c>
      <c r="AP196" s="93" t="str">
        <f t="shared" si="70"/>
        <v>#REF!</v>
      </c>
      <c r="AQ196" s="105">
        <v>45000.0</v>
      </c>
      <c r="AR196" s="105">
        <v>45000.0</v>
      </c>
      <c r="AS196" s="105">
        <f t="shared" si="71"/>
        <v>45031</v>
      </c>
      <c r="AT196" s="105" t="s">
        <v>98</v>
      </c>
      <c r="AU196" s="112" t="s">
        <v>98</v>
      </c>
      <c r="AV196" s="105" t="s">
        <v>98</v>
      </c>
      <c r="AW196" s="105" t="s">
        <v>98</v>
      </c>
      <c r="AX196" s="105" t="s">
        <v>113</v>
      </c>
      <c r="AY196" s="111" t="str">
        <f t="shared" si="69"/>
        <v>#REF!</v>
      </c>
      <c r="AZ196" s="105">
        <f t="shared" si="72"/>
        <v>46171</v>
      </c>
      <c r="BA196" s="95"/>
    </row>
    <row r="197" ht="30.75" customHeight="1">
      <c r="A197" s="93" t="s">
        <v>176</v>
      </c>
      <c r="B197" s="94" t="s">
        <v>82</v>
      </c>
      <c r="C197" s="110" t="s">
        <v>83</v>
      </c>
      <c r="D197" s="111">
        <v>9.0</v>
      </c>
      <c r="E197" s="93" t="s">
        <v>340</v>
      </c>
      <c r="F197" s="93" t="s">
        <v>813</v>
      </c>
      <c r="G197" s="93" t="s">
        <v>86</v>
      </c>
      <c r="H197" s="93" t="s">
        <v>814</v>
      </c>
      <c r="I197" s="93" t="s">
        <v>118</v>
      </c>
      <c r="J197" s="93" t="s">
        <v>780</v>
      </c>
      <c r="K197" s="93"/>
      <c r="L197" s="93"/>
      <c r="M197" s="111" t="s">
        <v>815</v>
      </c>
      <c r="N197" s="111"/>
      <c r="O197" s="93" t="s">
        <v>790</v>
      </c>
      <c r="P197" s="111">
        <v>1.0</v>
      </c>
      <c r="Q197" s="111">
        <v>1.0</v>
      </c>
      <c r="R197" s="111" t="s">
        <v>98</v>
      </c>
      <c r="S197" s="111" t="s">
        <v>98</v>
      </c>
      <c r="T197" s="111" t="s">
        <v>98</v>
      </c>
      <c r="U197" s="111" t="s">
        <v>98</v>
      </c>
      <c r="V197" s="111" t="s">
        <v>98</v>
      </c>
      <c r="W197" s="111" t="s">
        <v>98</v>
      </c>
      <c r="X197" s="111" t="s">
        <v>98</v>
      </c>
      <c r="Y197" s="111" t="s">
        <v>98</v>
      </c>
      <c r="Z197" s="111" t="s">
        <v>98</v>
      </c>
      <c r="AA197" s="111" t="s">
        <v>98</v>
      </c>
      <c r="AB197" s="111" t="s">
        <v>98</v>
      </c>
      <c r="AC197" s="111" t="s">
        <v>98</v>
      </c>
      <c r="AD197" s="111" t="s">
        <v>98</v>
      </c>
      <c r="AE197" s="111" t="s">
        <v>98</v>
      </c>
      <c r="AF197" s="111" t="s">
        <v>98</v>
      </c>
      <c r="AG197" s="111" t="s">
        <v>98</v>
      </c>
      <c r="AH197" s="111" t="s">
        <v>98</v>
      </c>
      <c r="AI197" s="111" t="s">
        <v>98</v>
      </c>
      <c r="AJ197" s="111" t="s">
        <v>98</v>
      </c>
      <c r="AK197" s="111" t="s">
        <v>98</v>
      </c>
      <c r="AL197" s="111" t="s">
        <v>98</v>
      </c>
      <c r="AM197" s="111" t="s">
        <v>98</v>
      </c>
      <c r="AN197" s="111" t="s">
        <v>98</v>
      </c>
      <c r="AO197" s="111" t="s">
        <v>98</v>
      </c>
      <c r="AP197" s="93" t="str">
        <f t="shared" si="70"/>
        <v>#REF!</v>
      </c>
      <c r="AQ197" s="105" t="s">
        <v>98</v>
      </c>
      <c r="AR197" s="105" t="s">
        <v>98</v>
      </c>
      <c r="AS197" s="105" t="str">
        <f t="shared" si="71"/>
        <v>#VALUE!</v>
      </c>
      <c r="AT197" s="105" t="s">
        <v>98</v>
      </c>
      <c r="AU197" s="105" t="s">
        <v>98</v>
      </c>
      <c r="AV197" s="105" t="s">
        <v>98</v>
      </c>
      <c r="AW197" s="105" t="s">
        <v>98</v>
      </c>
      <c r="AX197" s="105" t="s">
        <v>113</v>
      </c>
      <c r="AY197" s="111" t="str">
        <f t="shared" si="69"/>
        <v>#REF!</v>
      </c>
      <c r="AZ197" s="105">
        <f t="shared" si="72"/>
        <v>46171</v>
      </c>
      <c r="BA197" s="95"/>
    </row>
    <row r="198" ht="30.75" customHeight="1">
      <c r="A198" s="93" t="s">
        <v>176</v>
      </c>
      <c r="B198" s="94" t="s">
        <v>82</v>
      </c>
      <c r="C198" s="110" t="s">
        <v>83</v>
      </c>
      <c r="D198" s="111">
        <v>7.0</v>
      </c>
      <c r="E198" s="93" t="s">
        <v>340</v>
      </c>
      <c r="F198" s="93" t="s">
        <v>816</v>
      </c>
      <c r="G198" s="93" t="s">
        <v>86</v>
      </c>
      <c r="H198" s="93" t="s">
        <v>817</v>
      </c>
      <c r="I198" s="93" t="s">
        <v>118</v>
      </c>
      <c r="J198" s="93" t="s">
        <v>780</v>
      </c>
      <c r="K198" s="93" t="s">
        <v>781</v>
      </c>
      <c r="L198" s="93" t="s">
        <v>782</v>
      </c>
      <c r="M198" s="111" t="s">
        <v>818</v>
      </c>
      <c r="N198" s="111" t="s">
        <v>789</v>
      </c>
      <c r="O198" s="93" t="s">
        <v>790</v>
      </c>
      <c r="P198" s="111">
        <v>1.0</v>
      </c>
      <c r="Q198" s="111">
        <v>1.0</v>
      </c>
      <c r="R198" s="111" t="s">
        <v>98</v>
      </c>
      <c r="S198" s="111" t="s">
        <v>98</v>
      </c>
      <c r="T198" s="111" t="s">
        <v>98</v>
      </c>
      <c r="U198" s="111" t="s">
        <v>98</v>
      </c>
      <c r="V198" s="111" t="s">
        <v>98</v>
      </c>
      <c r="W198" s="111" t="s">
        <v>98</v>
      </c>
      <c r="X198" s="111" t="s">
        <v>98</v>
      </c>
      <c r="Y198" s="111" t="s">
        <v>98</v>
      </c>
      <c r="Z198" s="111" t="s">
        <v>98</v>
      </c>
      <c r="AA198" s="111" t="s">
        <v>98</v>
      </c>
      <c r="AB198" s="111" t="s">
        <v>98</v>
      </c>
      <c r="AC198" s="111" t="s">
        <v>98</v>
      </c>
      <c r="AD198" s="111" t="s">
        <v>98</v>
      </c>
      <c r="AE198" s="111" t="s">
        <v>98</v>
      </c>
      <c r="AF198" s="111" t="s">
        <v>98</v>
      </c>
      <c r="AG198" s="111" t="s">
        <v>98</v>
      </c>
      <c r="AH198" s="111" t="s">
        <v>98</v>
      </c>
      <c r="AI198" s="111" t="s">
        <v>98</v>
      </c>
      <c r="AJ198" s="111" t="s">
        <v>98</v>
      </c>
      <c r="AK198" s="111" t="s">
        <v>98</v>
      </c>
      <c r="AL198" s="111" t="s">
        <v>98</v>
      </c>
      <c r="AM198" s="111" t="s">
        <v>98</v>
      </c>
      <c r="AN198" s="111" t="s">
        <v>98</v>
      </c>
      <c r="AO198" s="111" t="s">
        <v>98</v>
      </c>
      <c r="AP198" s="93" t="str">
        <f t="shared" si="70"/>
        <v>#REF!</v>
      </c>
      <c r="AQ198" s="105">
        <v>45000.0</v>
      </c>
      <c r="AR198" s="105">
        <v>45000.0</v>
      </c>
      <c r="AS198" s="105">
        <f t="shared" si="71"/>
        <v>45031</v>
      </c>
      <c r="AT198" s="105" t="s">
        <v>98</v>
      </c>
      <c r="AU198" s="112" t="s">
        <v>98</v>
      </c>
      <c r="AV198" s="105" t="s">
        <v>98</v>
      </c>
      <c r="AW198" s="105" t="s">
        <v>98</v>
      </c>
      <c r="AX198" s="105" t="s">
        <v>113</v>
      </c>
      <c r="AY198" s="111" t="str">
        <f t="shared" si="69"/>
        <v>#REF!</v>
      </c>
      <c r="AZ198" s="105">
        <f t="shared" si="72"/>
        <v>46171</v>
      </c>
      <c r="BA198" s="95"/>
    </row>
    <row r="199" ht="30.75" customHeight="1">
      <c r="A199" s="93"/>
      <c r="B199" s="94" t="s">
        <v>82</v>
      </c>
      <c r="C199" s="94" t="s">
        <v>83</v>
      </c>
      <c r="D199" s="94">
        <v>51.0</v>
      </c>
      <c r="E199" s="93" t="s">
        <v>84</v>
      </c>
      <c r="F199" s="93" t="s">
        <v>819</v>
      </c>
      <c r="G199" s="93" t="s">
        <v>86</v>
      </c>
      <c r="H199" s="93" t="s">
        <v>820</v>
      </c>
      <c r="I199" s="93" t="s">
        <v>118</v>
      </c>
      <c r="J199" s="93" t="s">
        <v>780</v>
      </c>
      <c r="K199" s="93" t="s">
        <v>821</v>
      </c>
      <c r="L199" s="93" t="s">
        <v>822</v>
      </c>
      <c r="M199" s="93">
        <v>154111.0</v>
      </c>
      <c r="N199" s="93"/>
      <c r="O199" s="93" t="s">
        <v>94</v>
      </c>
      <c r="P199" s="93">
        <v>12.0</v>
      </c>
      <c r="Q199" s="93" t="s">
        <v>98</v>
      </c>
      <c r="R199" s="93"/>
      <c r="S199" s="93"/>
      <c r="T199" s="93"/>
      <c r="U199" s="93"/>
      <c r="V199" s="93">
        <v>1.0</v>
      </c>
      <c r="W199" s="93" t="s">
        <v>98</v>
      </c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 t="str">
        <f t="shared" si="70"/>
        <v>#REF!</v>
      </c>
      <c r="AQ199" s="95">
        <v>45000.0</v>
      </c>
      <c r="AR199" s="95" t="s">
        <v>98</v>
      </c>
      <c r="AS199" s="95">
        <f t="shared" si="71"/>
        <v>45366</v>
      </c>
      <c r="AT199" s="93" t="s">
        <v>98</v>
      </c>
      <c r="AU199" s="93" t="s">
        <v>98</v>
      </c>
      <c r="AV199" s="93" t="s">
        <v>98</v>
      </c>
      <c r="AW199" s="93" t="s">
        <v>98</v>
      </c>
      <c r="AX199" s="95" t="s">
        <v>99</v>
      </c>
      <c r="AY199" s="93" t="str">
        <f t="shared" si="69"/>
        <v>#REF!</v>
      </c>
      <c r="AZ199" s="95">
        <f t="shared" si="72"/>
        <v>46171</v>
      </c>
      <c r="BA199" s="95"/>
    </row>
    <row r="200" ht="30.75" customHeight="1">
      <c r="A200" s="93"/>
      <c r="B200" s="94" t="s">
        <v>82</v>
      </c>
      <c r="C200" s="94" t="s">
        <v>83</v>
      </c>
      <c r="D200" s="93">
        <v>52.0</v>
      </c>
      <c r="E200" s="93" t="s">
        <v>84</v>
      </c>
      <c r="F200" s="93" t="s">
        <v>823</v>
      </c>
      <c r="G200" s="93" t="s">
        <v>86</v>
      </c>
      <c r="H200" s="93" t="s">
        <v>824</v>
      </c>
      <c r="I200" s="93" t="s">
        <v>118</v>
      </c>
      <c r="J200" s="93" t="s">
        <v>780</v>
      </c>
      <c r="K200" s="93" t="s">
        <v>781</v>
      </c>
      <c r="L200" s="93" t="s">
        <v>98</v>
      </c>
      <c r="M200" s="93">
        <v>246216.0</v>
      </c>
      <c r="N200" s="93" t="s">
        <v>789</v>
      </c>
      <c r="O200" s="93" t="s">
        <v>94</v>
      </c>
      <c r="P200" s="93">
        <v>12.0</v>
      </c>
      <c r="Q200" s="93" t="s">
        <v>98</v>
      </c>
      <c r="R200" s="93"/>
      <c r="S200" s="93"/>
      <c r="T200" s="93"/>
      <c r="U200" s="93"/>
      <c r="V200" s="93">
        <v>1.0</v>
      </c>
      <c r="W200" s="93" t="s">
        <v>98</v>
      </c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 t="str">
        <f t="shared" si="70"/>
        <v>#REF!</v>
      </c>
      <c r="AQ200" s="95">
        <v>45000.0</v>
      </c>
      <c r="AR200" s="95" t="s">
        <v>98</v>
      </c>
      <c r="AS200" s="95">
        <f t="shared" si="71"/>
        <v>45366</v>
      </c>
      <c r="AT200" s="93" t="s">
        <v>98</v>
      </c>
      <c r="AU200" s="93" t="s">
        <v>98</v>
      </c>
      <c r="AV200" s="93" t="s">
        <v>98</v>
      </c>
      <c r="AW200" s="93" t="s">
        <v>98</v>
      </c>
      <c r="AX200" s="95" t="s">
        <v>99</v>
      </c>
      <c r="AY200" s="93" t="str">
        <f t="shared" si="69"/>
        <v>#REF!</v>
      </c>
      <c r="AZ200" s="95">
        <f t="shared" si="72"/>
        <v>46171</v>
      </c>
      <c r="BA200" s="95"/>
    </row>
    <row r="201" ht="30.75" customHeight="1">
      <c r="A201" s="93" t="s">
        <v>81</v>
      </c>
      <c r="B201" s="94" t="s">
        <v>82</v>
      </c>
      <c r="C201" s="94" t="s">
        <v>83</v>
      </c>
      <c r="D201" s="93">
        <v>9.0</v>
      </c>
      <c r="E201" s="93" t="s">
        <v>173</v>
      </c>
      <c r="F201" s="93" t="s">
        <v>825</v>
      </c>
      <c r="G201" s="93" t="s">
        <v>86</v>
      </c>
      <c r="H201" s="93" t="s">
        <v>826</v>
      </c>
      <c r="I201" s="93" t="s">
        <v>118</v>
      </c>
      <c r="J201" s="93" t="s">
        <v>780</v>
      </c>
      <c r="K201" s="93" t="s">
        <v>781</v>
      </c>
      <c r="L201" s="93" t="s">
        <v>827</v>
      </c>
      <c r="M201" s="93" t="s">
        <v>828</v>
      </c>
      <c r="N201" s="93" t="s">
        <v>98</v>
      </c>
      <c r="O201" s="93" t="s">
        <v>94</v>
      </c>
      <c r="P201" s="93">
        <v>12.0</v>
      </c>
      <c r="Q201" s="93" t="s">
        <v>98</v>
      </c>
      <c r="R201" s="93"/>
      <c r="S201" s="93"/>
      <c r="T201" s="93"/>
      <c r="U201" s="93"/>
      <c r="V201" s="93">
        <v>1.0</v>
      </c>
      <c r="W201" s="93" t="s">
        <v>98</v>
      </c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 t="str">
        <f t="shared" si="70"/>
        <v>#REF!</v>
      </c>
      <c r="AQ201" s="95">
        <v>45000.0</v>
      </c>
      <c r="AR201" s="95">
        <v>45000.0</v>
      </c>
      <c r="AS201" s="95">
        <f t="shared" si="71"/>
        <v>45366</v>
      </c>
      <c r="AT201" s="93" t="s">
        <v>98</v>
      </c>
      <c r="AU201" s="93" t="s">
        <v>98</v>
      </c>
      <c r="AV201" s="93" t="s">
        <v>98</v>
      </c>
      <c r="AW201" s="93" t="s">
        <v>98</v>
      </c>
      <c r="AX201" s="95" t="s">
        <v>99</v>
      </c>
      <c r="AY201" s="93" t="str">
        <f t="shared" si="69"/>
        <v>#REF!</v>
      </c>
      <c r="AZ201" s="95">
        <f t="shared" si="72"/>
        <v>46171</v>
      </c>
      <c r="BA201" s="95"/>
    </row>
    <row r="202" ht="30.75" customHeight="1">
      <c r="A202" s="93" t="s">
        <v>176</v>
      </c>
      <c r="B202" s="94" t="s">
        <v>107</v>
      </c>
      <c r="C202" s="94" t="s">
        <v>83</v>
      </c>
      <c r="D202" s="93">
        <v>10.0</v>
      </c>
      <c r="E202" s="93" t="s">
        <v>173</v>
      </c>
      <c r="F202" s="93" t="s">
        <v>829</v>
      </c>
      <c r="G202" s="93" t="s">
        <v>86</v>
      </c>
      <c r="H202" s="93"/>
      <c r="I202" s="93" t="s">
        <v>118</v>
      </c>
      <c r="J202" s="93" t="s">
        <v>780</v>
      </c>
      <c r="K202" s="93"/>
      <c r="L202" s="93"/>
      <c r="M202" s="93"/>
      <c r="N202" s="93"/>
      <c r="O202" s="93" t="s">
        <v>94</v>
      </c>
      <c r="P202" s="93">
        <v>12.0</v>
      </c>
      <c r="Q202" s="93" t="s">
        <v>98</v>
      </c>
      <c r="R202" s="93"/>
      <c r="S202" s="93"/>
      <c r="T202" s="93"/>
      <c r="U202" s="93"/>
      <c r="V202" s="93">
        <v>1.0</v>
      </c>
      <c r="W202" s="93" t="s">
        <v>98</v>
      </c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 t="str">
        <f t="shared" si="70"/>
        <v>#REF!</v>
      </c>
      <c r="AQ202" s="95">
        <v>45000.0</v>
      </c>
      <c r="AR202" s="95">
        <v>45000.0</v>
      </c>
      <c r="AS202" s="95">
        <f t="shared" si="71"/>
        <v>45366</v>
      </c>
      <c r="AT202" s="93" t="s">
        <v>98</v>
      </c>
      <c r="AU202" s="93" t="s">
        <v>98</v>
      </c>
      <c r="AV202" s="93" t="s">
        <v>98</v>
      </c>
      <c r="AW202" s="93" t="s">
        <v>98</v>
      </c>
      <c r="AX202" s="95" t="s">
        <v>99</v>
      </c>
      <c r="AY202" s="93" t="str">
        <f t="shared" si="69"/>
        <v>#REF!</v>
      </c>
      <c r="AZ202" s="95">
        <f t="shared" si="72"/>
        <v>46171</v>
      </c>
      <c r="BA202" s="95"/>
    </row>
    <row r="203" ht="30.75" customHeight="1">
      <c r="A203" s="93" t="s">
        <v>176</v>
      </c>
      <c r="B203" s="94" t="s">
        <v>107</v>
      </c>
      <c r="C203" s="94" t="s">
        <v>83</v>
      </c>
      <c r="D203" s="93">
        <v>11.0</v>
      </c>
      <c r="E203" s="93" t="s">
        <v>173</v>
      </c>
      <c r="F203" s="93" t="s">
        <v>830</v>
      </c>
      <c r="G203" s="93" t="s">
        <v>86</v>
      </c>
      <c r="H203" s="93"/>
      <c r="I203" s="93" t="s">
        <v>118</v>
      </c>
      <c r="J203" s="93" t="s">
        <v>780</v>
      </c>
      <c r="K203" s="93"/>
      <c r="L203" s="93"/>
      <c r="M203" s="93"/>
      <c r="N203" s="93"/>
      <c r="O203" s="93" t="s">
        <v>94</v>
      </c>
      <c r="P203" s="93">
        <v>12.0</v>
      </c>
      <c r="Q203" s="93" t="s">
        <v>98</v>
      </c>
      <c r="R203" s="93"/>
      <c r="S203" s="93"/>
      <c r="T203" s="93"/>
      <c r="U203" s="93"/>
      <c r="V203" s="93">
        <v>1.0</v>
      </c>
      <c r="W203" s="93" t="s">
        <v>98</v>
      </c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 t="str">
        <f t="shared" si="70"/>
        <v>#REF!</v>
      </c>
      <c r="AQ203" s="95">
        <v>45000.0</v>
      </c>
      <c r="AR203" s="95">
        <v>45000.0</v>
      </c>
      <c r="AS203" s="95">
        <f t="shared" si="71"/>
        <v>45366</v>
      </c>
      <c r="AT203" s="93" t="s">
        <v>98</v>
      </c>
      <c r="AU203" s="93" t="s">
        <v>98</v>
      </c>
      <c r="AV203" s="93" t="s">
        <v>98</v>
      </c>
      <c r="AW203" s="93" t="s">
        <v>98</v>
      </c>
      <c r="AX203" s="95" t="s">
        <v>99</v>
      </c>
      <c r="AY203" s="93" t="str">
        <f t="shared" si="69"/>
        <v>#REF!</v>
      </c>
      <c r="AZ203" s="95">
        <f t="shared" si="72"/>
        <v>46171</v>
      </c>
      <c r="BA203" s="95"/>
    </row>
    <row r="204" ht="30.75" customHeight="1">
      <c r="A204" s="114" t="s">
        <v>81</v>
      </c>
      <c r="B204" s="115" t="s">
        <v>82</v>
      </c>
      <c r="C204" s="116" t="s">
        <v>83</v>
      </c>
      <c r="D204" s="114">
        <v>28.0</v>
      </c>
      <c r="E204" s="117" t="s">
        <v>108</v>
      </c>
      <c r="F204" s="114" t="s">
        <v>831</v>
      </c>
      <c r="G204" s="114" t="s">
        <v>86</v>
      </c>
      <c r="H204" s="114" t="s">
        <v>832</v>
      </c>
      <c r="I204" s="114" t="s">
        <v>118</v>
      </c>
      <c r="J204" s="114" t="s">
        <v>780</v>
      </c>
      <c r="K204" s="114" t="s">
        <v>781</v>
      </c>
      <c r="L204" s="114" t="s">
        <v>833</v>
      </c>
      <c r="M204" s="114" t="s">
        <v>815</v>
      </c>
      <c r="N204" s="114" t="s">
        <v>98</v>
      </c>
      <c r="O204" s="114" t="s">
        <v>94</v>
      </c>
      <c r="P204" s="117">
        <v>12.0</v>
      </c>
      <c r="Q204" s="117" t="s">
        <v>98</v>
      </c>
      <c r="R204" s="114"/>
      <c r="S204" s="114"/>
      <c r="T204" s="114"/>
      <c r="U204" s="114"/>
      <c r="V204" s="114">
        <v>1.0</v>
      </c>
      <c r="W204" s="114" t="s">
        <v>98</v>
      </c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 t="str">
        <f t="shared" si="70"/>
        <v>#REF!</v>
      </c>
      <c r="AQ204" s="118">
        <v>45000.0</v>
      </c>
      <c r="AR204" s="118" t="s">
        <v>98</v>
      </c>
      <c r="AS204" s="118">
        <f t="shared" si="71"/>
        <v>45366</v>
      </c>
      <c r="AT204" s="114" t="s">
        <v>98</v>
      </c>
      <c r="AU204" s="114" t="s">
        <v>98</v>
      </c>
      <c r="AV204" s="114" t="s">
        <v>98</v>
      </c>
      <c r="AW204" s="114" t="s">
        <v>98</v>
      </c>
      <c r="AX204" s="118" t="s">
        <v>99</v>
      </c>
      <c r="AY204" s="114" t="str">
        <f t="shared" si="69"/>
        <v>#REF!</v>
      </c>
      <c r="AZ204" s="118">
        <f t="shared" si="72"/>
        <v>46171</v>
      </c>
      <c r="BA204" s="118"/>
    </row>
    <row r="205" ht="30.75" customHeight="1">
      <c r="A205" s="114" t="s">
        <v>81</v>
      </c>
      <c r="B205" s="115" t="s">
        <v>82</v>
      </c>
      <c r="C205" s="116" t="s">
        <v>83</v>
      </c>
      <c r="D205" s="114">
        <v>29.0</v>
      </c>
      <c r="E205" s="117" t="s">
        <v>108</v>
      </c>
      <c r="F205" s="114" t="s">
        <v>813</v>
      </c>
      <c r="G205" s="114" t="s">
        <v>86</v>
      </c>
      <c r="H205" s="114" t="s">
        <v>814</v>
      </c>
      <c r="I205" s="114" t="s">
        <v>118</v>
      </c>
      <c r="J205" s="114" t="s">
        <v>780</v>
      </c>
      <c r="K205" s="114" t="s">
        <v>781</v>
      </c>
      <c r="L205" s="114" t="s">
        <v>833</v>
      </c>
      <c r="M205" s="114" t="s">
        <v>834</v>
      </c>
      <c r="N205" s="114" t="s">
        <v>98</v>
      </c>
      <c r="O205" s="114" t="s">
        <v>94</v>
      </c>
      <c r="P205" s="117">
        <v>12.0</v>
      </c>
      <c r="Q205" s="117" t="s">
        <v>98</v>
      </c>
      <c r="R205" s="114"/>
      <c r="S205" s="114"/>
      <c r="T205" s="114"/>
      <c r="U205" s="114"/>
      <c r="V205" s="114">
        <v>1.0</v>
      </c>
      <c r="W205" s="114" t="s">
        <v>98</v>
      </c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 t="str">
        <f t="shared" si="70"/>
        <v>#REF!</v>
      </c>
      <c r="AQ205" s="118">
        <v>45000.0</v>
      </c>
      <c r="AR205" s="118" t="s">
        <v>98</v>
      </c>
      <c r="AS205" s="118">
        <f t="shared" si="71"/>
        <v>45366</v>
      </c>
      <c r="AT205" s="114" t="s">
        <v>98</v>
      </c>
      <c r="AU205" s="114" t="s">
        <v>98</v>
      </c>
      <c r="AV205" s="114" t="s">
        <v>98</v>
      </c>
      <c r="AW205" s="114" t="s">
        <v>98</v>
      </c>
      <c r="AX205" s="118" t="s">
        <v>99</v>
      </c>
      <c r="AY205" s="114" t="str">
        <f t="shared" si="69"/>
        <v>#REF!</v>
      </c>
      <c r="AZ205" s="118">
        <f t="shared" si="72"/>
        <v>46171</v>
      </c>
      <c r="BA205" s="118"/>
    </row>
    <row r="206" ht="30.75" customHeight="1">
      <c r="A206" s="114"/>
      <c r="B206" s="115" t="s">
        <v>82</v>
      </c>
      <c r="C206" s="116" t="s">
        <v>83</v>
      </c>
      <c r="D206" s="114">
        <v>30.0</v>
      </c>
      <c r="E206" s="117" t="s">
        <v>108</v>
      </c>
      <c r="F206" s="114" t="s">
        <v>835</v>
      </c>
      <c r="G206" s="114" t="s">
        <v>86</v>
      </c>
      <c r="H206" s="114" t="s">
        <v>836</v>
      </c>
      <c r="I206" s="114" t="s">
        <v>118</v>
      </c>
      <c r="J206" s="114" t="s">
        <v>780</v>
      </c>
      <c r="K206" s="114" t="s">
        <v>837</v>
      </c>
      <c r="L206" s="114" t="s">
        <v>838</v>
      </c>
      <c r="M206" s="115">
        <v>3.134000797E9</v>
      </c>
      <c r="N206" s="114" t="s">
        <v>98</v>
      </c>
      <c r="O206" s="114" t="s">
        <v>94</v>
      </c>
      <c r="P206" s="117">
        <v>12.0</v>
      </c>
      <c r="Q206" s="117" t="s">
        <v>98</v>
      </c>
      <c r="R206" s="114"/>
      <c r="S206" s="114"/>
      <c r="T206" s="114"/>
      <c r="U206" s="114"/>
      <c r="V206" s="114">
        <v>1.0</v>
      </c>
      <c r="W206" s="114" t="s">
        <v>98</v>
      </c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 t="str">
        <f t="shared" si="70"/>
        <v>#REF!</v>
      </c>
      <c r="AQ206" s="118">
        <v>45000.0</v>
      </c>
      <c r="AR206" s="118" t="s">
        <v>98</v>
      </c>
      <c r="AS206" s="118">
        <f t="shared" si="71"/>
        <v>45366</v>
      </c>
      <c r="AT206" s="114" t="s">
        <v>98</v>
      </c>
      <c r="AU206" s="114" t="s">
        <v>98</v>
      </c>
      <c r="AV206" s="114" t="s">
        <v>98</v>
      </c>
      <c r="AW206" s="114" t="s">
        <v>98</v>
      </c>
      <c r="AX206" s="118" t="s">
        <v>99</v>
      </c>
      <c r="AY206" s="114" t="str">
        <f t="shared" si="69"/>
        <v>#REF!</v>
      </c>
      <c r="AZ206" s="118">
        <f t="shared" si="72"/>
        <v>46171</v>
      </c>
      <c r="BA206" s="118"/>
    </row>
    <row r="207" ht="30.75" customHeight="1">
      <c r="A207" s="114"/>
      <c r="B207" s="115" t="s">
        <v>82</v>
      </c>
      <c r="C207" s="116" t="s">
        <v>83</v>
      </c>
      <c r="D207" s="114">
        <v>31.0</v>
      </c>
      <c r="E207" s="117" t="s">
        <v>108</v>
      </c>
      <c r="F207" s="114" t="s">
        <v>839</v>
      </c>
      <c r="G207" s="114" t="s">
        <v>86</v>
      </c>
      <c r="H207" s="114" t="s">
        <v>840</v>
      </c>
      <c r="I207" s="114" t="s">
        <v>118</v>
      </c>
      <c r="J207" s="114" t="s">
        <v>780</v>
      </c>
      <c r="K207" s="114" t="s">
        <v>781</v>
      </c>
      <c r="L207" s="114" t="s">
        <v>799</v>
      </c>
      <c r="M207" s="114" t="s">
        <v>800</v>
      </c>
      <c r="N207" s="114" t="s">
        <v>789</v>
      </c>
      <c r="O207" s="114" t="s">
        <v>94</v>
      </c>
      <c r="P207" s="117">
        <v>12.0</v>
      </c>
      <c r="Q207" s="117" t="s">
        <v>98</v>
      </c>
      <c r="R207" s="114"/>
      <c r="S207" s="114"/>
      <c r="T207" s="114"/>
      <c r="U207" s="114"/>
      <c r="V207" s="114">
        <v>1.0</v>
      </c>
      <c r="W207" s="114" t="s">
        <v>98</v>
      </c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 t="str">
        <f t="shared" si="70"/>
        <v>#REF!</v>
      </c>
      <c r="AQ207" s="118">
        <v>45000.0</v>
      </c>
      <c r="AR207" s="118" t="s">
        <v>98</v>
      </c>
      <c r="AS207" s="118">
        <f t="shared" si="71"/>
        <v>45366</v>
      </c>
      <c r="AT207" s="114" t="s">
        <v>98</v>
      </c>
      <c r="AU207" s="114" t="s">
        <v>98</v>
      </c>
      <c r="AV207" s="114" t="s">
        <v>98</v>
      </c>
      <c r="AW207" s="114" t="s">
        <v>98</v>
      </c>
      <c r="AX207" s="138" t="s">
        <v>99</v>
      </c>
      <c r="AY207" s="114" t="str">
        <f t="shared" si="69"/>
        <v>#REF!</v>
      </c>
      <c r="AZ207" s="118">
        <f t="shared" si="72"/>
        <v>46171</v>
      </c>
      <c r="BA207" s="118"/>
    </row>
    <row r="208" ht="30.75" customHeight="1">
      <c r="A208" s="114" t="s">
        <v>81</v>
      </c>
      <c r="B208" s="115" t="s">
        <v>82</v>
      </c>
      <c r="C208" s="116" t="s">
        <v>83</v>
      </c>
      <c r="D208" s="114">
        <v>32.0</v>
      </c>
      <c r="E208" s="117" t="s">
        <v>108</v>
      </c>
      <c r="F208" s="114" t="s">
        <v>841</v>
      </c>
      <c r="G208" s="114" t="s">
        <v>86</v>
      </c>
      <c r="H208" s="114" t="s">
        <v>842</v>
      </c>
      <c r="I208" s="114" t="s">
        <v>118</v>
      </c>
      <c r="J208" s="114" t="s">
        <v>780</v>
      </c>
      <c r="K208" s="114" t="s">
        <v>803</v>
      </c>
      <c r="L208" s="114" t="s">
        <v>843</v>
      </c>
      <c r="M208" s="114">
        <v>465707.0</v>
      </c>
      <c r="N208" s="114" t="s">
        <v>98</v>
      </c>
      <c r="O208" s="114" t="s">
        <v>652</v>
      </c>
      <c r="P208" s="117">
        <v>12.0</v>
      </c>
      <c r="Q208" s="117" t="s">
        <v>98</v>
      </c>
      <c r="R208" s="117" t="s">
        <v>98</v>
      </c>
      <c r="S208" s="117" t="s">
        <v>98</v>
      </c>
      <c r="T208" s="117" t="s">
        <v>98</v>
      </c>
      <c r="U208" s="117" t="s">
        <v>98</v>
      </c>
      <c r="V208" s="117" t="s">
        <v>98</v>
      </c>
      <c r="W208" s="117" t="s">
        <v>98</v>
      </c>
      <c r="X208" s="117" t="s">
        <v>98</v>
      </c>
      <c r="Y208" s="117" t="s">
        <v>98</v>
      </c>
      <c r="Z208" s="117" t="s">
        <v>98</v>
      </c>
      <c r="AA208" s="117" t="s">
        <v>98</v>
      </c>
      <c r="AB208" s="117" t="s">
        <v>98</v>
      </c>
      <c r="AC208" s="117" t="s">
        <v>98</v>
      </c>
      <c r="AD208" s="117" t="s">
        <v>98</v>
      </c>
      <c r="AE208" s="117" t="s">
        <v>98</v>
      </c>
      <c r="AF208" s="117" t="s">
        <v>98</v>
      </c>
      <c r="AG208" s="117" t="s">
        <v>98</v>
      </c>
      <c r="AH208" s="117" t="s">
        <v>98</v>
      </c>
      <c r="AI208" s="117" t="s">
        <v>98</v>
      </c>
      <c r="AJ208" s="117" t="s">
        <v>98</v>
      </c>
      <c r="AK208" s="117" t="s">
        <v>98</v>
      </c>
      <c r="AL208" s="117" t="s">
        <v>98</v>
      </c>
      <c r="AM208" s="117" t="s">
        <v>98</v>
      </c>
      <c r="AN208" s="117" t="s">
        <v>98</v>
      </c>
      <c r="AO208" s="117" t="s">
        <v>98</v>
      </c>
      <c r="AP208" s="114" t="str">
        <f t="shared" si="70"/>
        <v>#REF!</v>
      </c>
      <c r="AQ208" s="118" t="s">
        <v>98</v>
      </c>
      <c r="AR208" s="118" t="s">
        <v>98</v>
      </c>
      <c r="AS208" s="118" t="str">
        <f t="shared" si="71"/>
        <v>#VALUE!</v>
      </c>
      <c r="AT208" s="114" t="s">
        <v>98</v>
      </c>
      <c r="AU208" s="114" t="s">
        <v>98</v>
      </c>
      <c r="AV208" s="114" t="s">
        <v>98</v>
      </c>
      <c r="AW208" s="114" t="s">
        <v>98</v>
      </c>
      <c r="AX208" s="118" t="s">
        <v>113</v>
      </c>
      <c r="AY208" s="114" t="str">
        <f t="shared" si="69"/>
        <v>#REF!</v>
      </c>
      <c r="AZ208" s="118">
        <f t="shared" si="72"/>
        <v>46171</v>
      </c>
      <c r="BA208" s="118"/>
    </row>
    <row r="209" ht="30.75" customHeight="1">
      <c r="A209" s="114" t="s">
        <v>81</v>
      </c>
      <c r="B209" s="115" t="s">
        <v>82</v>
      </c>
      <c r="C209" s="116" t="s">
        <v>83</v>
      </c>
      <c r="D209" s="114">
        <v>33.0</v>
      </c>
      <c r="E209" s="117" t="s">
        <v>108</v>
      </c>
      <c r="F209" s="114" t="s">
        <v>844</v>
      </c>
      <c r="G209" s="114" t="s">
        <v>86</v>
      </c>
      <c r="H209" s="114" t="s">
        <v>845</v>
      </c>
      <c r="I209" s="114" t="s">
        <v>118</v>
      </c>
      <c r="J209" s="114" t="s">
        <v>780</v>
      </c>
      <c r="K209" s="114" t="s">
        <v>837</v>
      </c>
      <c r="L209" s="114" t="s">
        <v>846</v>
      </c>
      <c r="M209" s="115">
        <v>465176.0</v>
      </c>
      <c r="N209" s="114" t="s">
        <v>98</v>
      </c>
      <c r="O209" s="114"/>
      <c r="P209" s="117"/>
      <c r="Q209" s="117" t="s">
        <v>98</v>
      </c>
      <c r="R209" s="117" t="s">
        <v>98</v>
      </c>
      <c r="S209" s="117" t="s">
        <v>98</v>
      </c>
      <c r="T209" s="117" t="s">
        <v>98</v>
      </c>
      <c r="U209" s="117" t="s">
        <v>98</v>
      </c>
      <c r="V209" s="117" t="s">
        <v>98</v>
      </c>
      <c r="W209" s="117" t="s">
        <v>98</v>
      </c>
      <c r="X209" s="117" t="s">
        <v>98</v>
      </c>
      <c r="Y209" s="117" t="s">
        <v>98</v>
      </c>
      <c r="Z209" s="117" t="s">
        <v>98</v>
      </c>
      <c r="AA209" s="117" t="s">
        <v>98</v>
      </c>
      <c r="AB209" s="117" t="s">
        <v>98</v>
      </c>
      <c r="AC209" s="117" t="s">
        <v>98</v>
      </c>
      <c r="AD209" s="117" t="s">
        <v>98</v>
      </c>
      <c r="AE209" s="117" t="s">
        <v>98</v>
      </c>
      <c r="AF209" s="117" t="s">
        <v>98</v>
      </c>
      <c r="AG209" s="117" t="s">
        <v>98</v>
      </c>
      <c r="AH209" s="117" t="s">
        <v>98</v>
      </c>
      <c r="AI209" s="117" t="s">
        <v>98</v>
      </c>
      <c r="AJ209" s="117" t="s">
        <v>98</v>
      </c>
      <c r="AK209" s="117" t="s">
        <v>98</v>
      </c>
      <c r="AL209" s="117" t="s">
        <v>98</v>
      </c>
      <c r="AM209" s="117" t="s">
        <v>98</v>
      </c>
      <c r="AN209" s="117" t="s">
        <v>98</v>
      </c>
      <c r="AO209" s="117" t="s">
        <v>98</v>
      </c>
      <c r="AP209" s="114" t="str">
        <f t="shared" si="70"/>
        <v>#REF!</v>
      </c>
      <c r="AQ209" s="118" t="s">
        <v>98</v>
      </c>
      <c r="AR209" s="118" t="s">
        <v>98</v>
      </c>
      <c r="AS209" s="118" t="str">
        <f t="shared" si="71"/>
        <v>#VALUE!</v>
      </c>
      <c r="AT209" s="114" t="s">
        <v>98</v>
      </c>
      <c r="AU209" s="114" t="s">
        <v>98</v>
      </c>
      <c r="AV209" s="114" t="s">
        <v>98</v>
      </c>
      <c r="AW209" s="114" t="s">
        <v>98</v>
      </c>
      <c r="AX209" s="118" t="s">
        <v>113</v>
      </c>
      <c r="AY209" s="114" t="str">
        <f t="shared" si="69"/>
        <v>#REF!</v>
      </c>
      <c r="AZ209" s="118">
        <f t="shared" si="72"/>
        <v>46171</v>
      </c>
      <c r="BA209" s="118"/>
    </row>
    <row r="210" ht="30.75" customHeight="1">
      <c r="A210" s="114" t="s">
        <v>106</v>
      </c>
      <c r="B210" s="115" t="s">
        <v>82</v>
      </c>
      <c r="C210" s="116"/>
      <c r="D210" s="114"/>
      <c r="E210" s="117"/>
      <c r="F210" s="114"/>
      <c r="G210" s="114"/>
      <c r="H210" s="114"/>
      <c r="I210" s="114"/>
      <c r="J210" s="114" t="s">
        <v>780</v>
      </c>
      <c r="K210" s="114" t="s">
        <v>847</v>
      </c>
      <c r="L210" s="114" t="s">
        <v>848</v>
      </c>
      <c r="M210" s="114" t="s">
        <v>849</v>
      </c>
      <c r="N210" s="114"/>
      <c r="O210" s="114"/>
      <c r="P210" s="117"/>
      <c r="Q210" s="117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8"/>
      <c r="AR210" s="118"/>
      <c r="AS210" s="118">
        <f t="shared" si="71"/>
        <v>693961</v>
      </c>
      <c r="AT210" s="118"/>
      <c r="AU210" s="118"/>
      <c r="AV210" s="118"/>
      <c r="AW210" s="118"/>
      <c r="AX210" s="118" t="s">
        <v>113</v>
      </c>
      <c r="AY210" s="114"/>
      <c r="AZ210" s="118">
        <f t="shared" si="72"/>
        <v>46171</v>
      </c>
      <c r="BA210" s="118"/>
    </row>
    <row r="211" ht="30.75" customHeight="1">
      <c r="A211" s="93" t="s">
        <v>81</v>
      </c>
      <c r="B211" s="94" t="s">
        <v>82</v>
      </c>
      <c r="C211" s="94" t="s">
        <v>83</v>
      </c>
      <c r="D211" s="93">
        <v>7.0</v>
      </c>
      <c r="E211" s="93" t="s">
        <v>153</v>
      </c>
      <c r="F211" s="93" t="s">
        <v>797</v>
      </c>
      <c r="G211" s="93" t="s">
        <v>86</v>
      </c>
      <c r="H211" s="93" t="s">
        <v>850</v>
      </c>
      <c r="I211" s="93" t="s">
        <v>118</v>
      </c>
      <c r="J211" s="93" t="s">
        <v>851</v>
      </c>
      <c r="K211" s="93" t="s">
        <v>781</v>
      </c>
      <c r="L211" s="93" t="s">
        <v>852</v>
      </c>
      <c r="M211" s="93" t="s">
        <v>853</v>
      </c>
      <c r="N211" s="93" t="s">
        <v>789</v>
      </c>
      <c r="O211" s="93" t="s">
        <v>652</v>
      </c>
      <c r="P211" s="93">
        <v>12.0</v>
      </c>
      <c r="Q211" s="93" t="s">
        <v>98</v>
      </c>
      <c r="R211" s="93" t="s">
        <v>98</v>
      </c>
      <c r="S211" s="93" t="s">
        <v>98</v>
      </c>
      <c r="T211" s="93" t="s">
        <v>98</v>
      </c>
      <c r="U211" s="93" t="s">
        <v>98</v>
      </c>
      <c r="V211" s="93" t="s">
        <v>98</v>
      </c>
      <c r="W211" s="93" t="s">
        <v>98</v>
      </c>
      <c r="X211" s="93" t="s">
        <v>98</v>
      </c>
      <c r="Y211" s="93" t="s">
        <v>98</v>
      </c>
      <c r="Z211" s="93" t="s">
        <v>98</v>
      </c>
      <c r="AA211" s="93" t="s">
        <v>98</v>
      </c>
      <c r="AB211" s="93" t="s">
        <v>98</v>
      </c>
      <c r="AC211" s="93" t="s">
        <v>98</v>
      </c>
      <c r="AD211" s="93" t="s">
        <v>98</v>
      </c>
      <c r="AE211" s="93" t="s">
        <v>98</v>
      </c>
      <c r="AF211" s="93" t="s">
        <v>98</v>
      </c>
      <c r="AG211" s="93" t="s">
        <v>98</v>
      </c>
      <c r="AH211" s="93" t="s">
        <v>98</v>
      </c>
      <c r="AI211" s="93" t="s">
        <v>98</v>
      </c>
      <c r="AJ211" s="93" t="s">
        <v>98</v>
      </c>
      <c r="AK211" s="93" t="s">
        <v>98</v>
      </c>
      <c r="AL211" s="93" t="s">
        <v>98</v>
      </c>
      <c r="AM211" s="93" t="s">
        <v>98</v>
      </c>
      <c r="AN211" s="93" t="s">
        <v>98</v>
      </c>
      <c r="AO211" s="93" t="s">
        <v>98</v>
      </c>
      <c r="AP211" s="93" t="str">
        <f t="shared" ref="AP211:AP212" si="73">#REF!</f>
        <v>#REF!</v>
      </c>
      <c r="AQ211" s="95" t="s">
        <v>98</v>
      </c>
      <c r="AR211" s="95" t="s">
        <v>98</v>
      </c>
      <c r="AS211" s="95" t="str">
        <f t="shared" si="71"/>
        <v>#VALUE!</v>
      </c>
      <c r="AT211" s="95" t="s">
        <v>98</v>
      </c>
      <c r="AU211" s="95" t="s">
        <v>98</v>
      </c>
      <c r="AV211" s="95" t="s">
        <v>98</v>
      </c>
      <c r="AW211" s="95" t="s">
        <v>98</v>
      </c>
      <c r="AX211" s="95" t="s">
        <v>113</v>
      </c>
      <c r="AY211" s="93" t="str">
        <f t="shared" ref="AY211:AY212" si="74">#REF!</f>
        <v>#REF!</v>
      </c>
      <c r="AZ211" s="95">
        <f t="shared" si="72"/>
        <v>46171</v>
      </c>
      <c r="BA211" s="95"/>
    </row>
    <row r="212" ht="30.75" customHeight="1">
      <c r="A212" s="93" t="s">
        <v>81</v>
      </c>
      <c r="B212" s="94" t="s">
        <v>82</v>
      </c>
      <c r="C212" s="94" t="s">
        <v>83</v>
      </c>
      <c r="D212" s="93">
        <v>12.0</v>
      </c>
      <c r="E212" s="93" t="s">
        <v>173</v>
      </c>
      <c r="F212" s="93" t="s">
        <v>854</v>
      </c>
      <c r="G212" s="93" t="s">
        <v>86</v>
      </c>
      <c r="H212" s="93" t="s">
        <v>98</v>
      </c>
      <c r="I212" s="93" t="s">
        <v>118</v>
      </c>
      <c r="J212" s="93" t="s">
        <v>855</v>
      </c>
      <c r="K212" s="93" t="s">
        <v>856</v>
      </c>
      <c r="L212" s="93" t="s">
        <v>857</v>
      </c>
      <c r="M212" s="93">
        <v>110134.0</v>
      </c>
      <c r="N212" s="93" t="s">
        <v>98</v>
      </c>
      <c r="O212" s="93" t="s">
        <v>94</v>
      </c>
      <c r="P212" s="93">
        <v>12.0</v>
      </c>
      <c r="Q212" s="93" t="s">
        <v>98</v>
      </c>
      <c r="R212" s="93"/>
      <c r="S212" s="93"/>
      <c r="T212" s="93"/>
      <c r="U212" s="93"/>
      <c r="V212" s="93">
        <v>1.0</v>
      </c>
      <c r="W212" s="93" t="s">
        <v>98</v>
      </c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 t="str">
        <f t="shared" si="73"/>
        <v>#REF!</v>
      </c>
      <c r="AQ212" s="95">
        <v>45000.0</v>
      </c>
      <c r="AR212" s="95" t="s">
        <v>98</v>
      </c>
      <c r="AS212" s="95">
        <f t="shared" si="71"/>
        <v>45366</v>
      </c>
      <c r="AT212" s="93" t="s">
        <v>98</v>
      </c>
      <c r="AU212" s="93"/>
      <c r="AV212" s="93"/>
      <c r="AW212" s="93"/>
      <c r="AX212" s="95" t="s">
        <v>99</v>
      </c>
      <c r="AY212" s="93" t="str">
        <f t="shared" si="74"/>
        <v>#REF!</v>
      </c>
      <c r="AZ212" s="95">
        <f t="shared" si="72"/>
        <v>46171</v>
      </c>
      <c r="BA212" s="95"/>
    </row>
    <row r="213" ht="30.75" customHeight="1">
      <c r="A213" s="93"/>
      <c r="B213" s="94" t="s">
        <v>107</v>
      </c>
      <c r="C213" s="94" t="s">
        <v>83</v>
      </c>
      <c r="D213" s="93">
        <v>15.0</v>
      </c>
      <c r="E213" s="93" t="s">
        <v>131</v>
      </c>
      <c r="F213" s="93" t="s">
        <v>858</v>
      </c>
      <c r="G213" s="93" t="s">
        <v>86</v>
      </c>
      <c r="H213" s="93" t="s">
        <v>98</v>
      </c>
      <c r="I213" s="93" t="s">
        <v>88</v>
      </c>
      <c r="J213" s="93" t="s">
        <v>859</v>
      </c>
      <c r="K213" s="93" t="s">
        <v>860</v>
      </c>
      <c r="L213" s="93" t="s">
        <v>861</v>
      </c>
      <c r="M213" s="93">
        <v>702005.0</v>
      </c>
      <c r="N213" s="93" t="s">
        <v>862</v>
      </c>
      <c r="O213" s="93" t="s">
        <v>94</v>
      </c>
      <c r="P213" s="93">
        <v>12.0</v>
      </c>
      <c r="Q213" s="93">
        <v>12.0</v>
      </c>
      <c r="R213" s="93"/>
      <c r="S213" s="93"/>
      <c r="T213" s="93"/>
      <c r="U213" s="93"/>
      <c r="V213" s="93">
        <v>1.0</v>
      </c>
      <c r="W213" s="93">
        <v>1.0</v>
      </c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>
        <v>0.0</v>
      </c>
      <c r="AQ213" s="95">
        <v>44998.0</v>
      </c>
      <c r="AR213" s="95">
        <v>44998.0</v>
      </c>
      <c r="AS213" s="95">
        <v>45364.0</v>
      </c>
      <c r="AT213" s="93" t="s">
        <v>863</v>
      </c>
      <c r="AU213" s="93"/>
      <c r="AV213" s="93"/>
      <c r="AW213" s="93"/>
      <c r="AX213" s="93" t="s">
        <v>99</v>
      </c>
      <c r="AY213" s="93">
        <v>0.0</v>
      </c>
      <c r="AZ213" s="95">
        <v>45370.0</v>
      </c>
      <c r="BA213" s="95"/>
    </row>
    <row r="214" ht="30.75" customHeight="1">
      <c r="A214" s="93" t="s">
        <v>81</v>
      </c>
      <c r="B214" s="94" t="s">
        <v>107</v>
      </c>
      <c r="C214" s="94" t="s">
        <v>83</v>
      </c>
      <c r="D214" s="93">
        <v>9.0</v>
      </c>
      <c r="E214" s="93" t="s">
        <v>153</v>
      </c>
      <c r="F214" s="93" t="s">
        <v>864</v>
      </c>
      <c r="G214" s="93" t="s">
        <v>161</v>
      </c>
      <c r="H214" s="93" t="s">
        <v>865</v>
      </c>
      <c r="I214" s="93" t="s">
        <v>88</v>
      </c>
      <c r="J214" s="93" t="s">
        <v>859</v>
      </c>
      <c r="K214" s="93" t="s">
        <v>866</v>
      </c>
      <c r="L214" s="93" t="s">
        <v>867</v>
      </c>
      <c r="M214" s="93">
        <v>18724.0</v>
      </c>
      <c r="N214" s="93" t="s">
        <v>98</v>
      </c>
      <c r="O214" s="93" t="s">
        <v>167</v>
      </c>
      <c r="P214" s="93">
        <v>12.0</v>
      </c>
      <c r="Q214" s="93" t="s">
        <v>98</v>
      </c>
      <c r="R214" s="93" t="s">
        <v>98</v>
      </c>
      <c r="S214" s="93" t="s">
        <v>98</v>
      </c>
      <c r="T214" s="93" t="s">
        <v>98</v>
      </c>
      <c r="U214" s="93" t="s">
        <v>98</v>
      </c>
      <c r="V214" s="93" t="s">
        <v>98</v>
      </c>
      <c r="W214" s="93" t="s">
        <v>98</v>
      </c>
      <c r="X214" s="93" t="s">
        <v>98</v>
      </c>
      <c r="Y214" s="93" t="s">
        <v>98</v>
      </c>
      <c r="Z214" s="93" t="s">
        <v>98</v>
      </c>
      <c r="AA214" s="93" t="s">
        <v>98</v>
      </c>
      <c r="AB214" s="93" t="s">
        <v>98</v>
      </c>
      <c r="AC214" s="93" t="s">
        <v>98</v>
      </c>
      <c r="AD214" s="93" t="s">
        <v>98</v>
      </c>
      <c r="AE214" s="93" t="s">
        <v>98</v>
      </c>
      <c r="AF214" s="93" t="s">
        <v>98</v>
      </c>
      <c r="AG214" s="93" t="s">
        <v>98</v>
      </c>
      <c r="AH214" s="93" t="s">
        <v>98</v>
      </c>
      <c r="AI214" s="93" t="s">
        <v>98</v>
      </c>
      <c r="AJ214" s="93" t="s">
        <v>98</v>
      </c>
      <c r="AK214" s="93" t="s">
        <v>98</v>
      </c>
      <c r="AL214" s="93" t="s">
        <v>98</v>
      </c>
      <c r="AM214" s="93" t="s">
        <v>98</v>
      </c>
      <c r="AN214" s="93" t="s">
        <v>98</v>
      </c>
      <c r="AO214" s="93" t="s">
        <v>98</v>
      </c>
      <c r="AP214" s="93" t="str">
        <f t="shared" ref="AP214:AP241" si="75">#REF!</f>
        <v>#REF!</v>
      </c>
      <c r="AQ214" s="95" t="s">
        <v>98</v>
      </c>
      <c r="AR214" s="95" t="s">
        <v>98</v>
      </c>
      <c r="AS214" s="95" t="str">
        <f t="shared" ref="AS214:AS223" si="76">DATE(YEAR(AQ214),MONTH(AQ214)+P214,DAY(AQ214))</f>
        <v>#VALUE!</v>
      </c>
      <c r="AT214" s="95" t="s">
        <v>98</v>
      </c>
      <c r="AU214" s="95" t="s">
        <v>98</v>
      </c>
      <c r="AV214" s="95" t="s">
        <v>98</v>
      </c>
      <c r="AW214" s="95" t="s">
        <v>98</v>
      </c>
      <c r="AX214" s="95" t="s">
        <v>113</v>
      </c>
      <c r="AY214" s="93" t="str">
        <f t="shared" ref="AY214:AY241" si="77">#REF!</f>
        <v>#REF!</v>
      </c>
      <c r="AZ214" s="95">
        <f t="shared" ref="AZ214:AZ215" si="78">TODAY()</f>
        <v>46171</v>
      </c>
      <c r="BA214" s="95"/>
    </row>
    <row r="215" ht="30.75" customHeight="1">
      <c r="A215" s="93" t="s">
        <v>81</v>
      </c>
      <c r="B215" s="94" t="s">
        <v>107</v>
      </c>
      <c r="C215" s="94" t="s">
        <v>83</v>
      </c>
      <c r="D215" s="93">
        <v>8.0</v>
      </c>
      <c r="E215" s="93" t="s">
        <v>153</v>
      </c>
      <c r="F215" s="93" t="s">
        <v>868</v>
      </c>
      <c r="G215" s="93" t="s">
        <v>161</v>
      </c>
      <c r="H215" s="93" t="s">
        <v>869</v>
      </c>
      <c r="I215" s="93" t="s">
        <v>88</v>
      </c>
      <c r="J215" s="93" t="s">
        <v>859</v>
      </c>
      <c r="K215" s="93" t="s">
        <v>870</v>
      </c>
      <c r="L215" s="93" t="s">
        <v>871</v>
      </c>
      <c r="M215" s="93">
        <v>602003.0</v>
      </c>
      <c r="N215" s="93" t="s">
        <v>872</v>
      </c>
      <c r="O215" s="93" t="s">
        <v>167</v>
      </c>
      <c r="P215" s="93">
        <v>12.0</v>
      </c>
      <c r="Q215" s="93" t="s">
        <v>98</v>
      </c>
      <c r="R215" s="93" t="s">
        <v>98</v>
      </c>
      <c r="S215" s="93" t="s">
        <v>98</v>
      </c>
      <c r="T215" s="93" t="s">
        <v>98</v>
      </c>
      <c r="U215" s="93" t="s">
        <v>98</v>
      </c>
      <c r="V215" s="93" t="s">
        <v>98</v>
      </c>
      <c r="W215" s="93" t="s">
        <v>98</v>
      </c>
      <c r="X215" s="93" t="s">
        <v>98</v>
      </c>
      <c r="Y215" s="93" t="s">
        <v>98</v>
      </c>
      <c r="Z215" s="93" t="s">
        <v>98</v>
      </c>
      <c r="AA215" s="93" t="s">
        <v>98</v>
      </c>
      <c r="AB215" s="93" t="s">
        <v>98</v>
      </c>
      <c r="AC215" s="93" t="s">
        <v>98</v>
      </c>
      <c r="AD215" s="93" t="s">
        <v>98</v>
      </c>
      <c r="AE215" s="93" t="s">
        <v>98</v>
      </c>
      <c r="AF215" s="93" t="s">
        <v>98</v>
      </c>
      <c r="AG215" s="93" t="s">
        <v>98</v>
      </c>
      <c r="AH215" s="93" t="s">
        <v>98</v>
      </c>
      <c r="AI215" s="93" t="s">
        <v>98</v>
      </c>
      <c r="AJ215" s="93" t="s">
        <v>98</v>
      </c>
      <c r="AK215" s="93" t="s">
        <v>98</v>
      </c>
      <c r="AL215" s="93" t="s">
        <v>98</v>
      </c>
      <c r="AM215" s="93" t="s">
        <v>98</v>
      </c>
      <c r="AN215" s="93" t="s">
        <v>98</v>
      </c>
      <c r="AO215" s="93" t="s">
        <v>98</v>
      </c>
      <c r="AP215" s="93" t="str">
        <f t="shared" si="75"/>
        <v>#REF!</v>
      </c>
      <c r="AQ215" s="95" t="s">
        <v>98</v>
      </c>
      <c r="AR215" s="95" t="s">
        <v>98</v>
      </c>
      <c r="AS215" s="95" t="str">
        <f t="shared" si="76"/>
        <v>#VALUE!</v>
      </c>
      <c r="AT215" s="95" t="s">
        <v>98</v>
      </c>
      <c r="AU215" s="95" t="s">
        <v>98</v>
      </c>
      <c r="AV215" s="95" t="s">
        <v>98</v>
      </c>
      <c r="AW215" s="95" t="s">
        <v>98</v>
      </c>
      <c r="AX215" s="95" t="s">
        <v>113</v>
      </c>
      <c r="AY215" s="93" t="str">
        <f t="shared" si="77"/>
        <v>#REF!</v>
      </c>
      <c r="AZ215" s="95">
        <f t="shared" si="78"/>
        <v>46171</v>
      </c>
      <c r="BA215" s="95"/>
    </row>
    <row r="216" ht="30.75" customHeight="1">
      <c r="A216" s="93"/>
      <c r="B216" s="94" t="s">
        <v>107</v>
      </c>
      <c r="C216" s="94" t="s">
        <v>83</v>
      </c>
      <c r="D216" s="93">
        <v>7.0</v>
      </c>
      <c r="E216" s="93" t="s">
        <v>336</v>
      </c>
      <c r="F216" s="93" t="s">
        <v>873</v>
      </c>
      <c r="G216" s="93" t="s">
        <v>161</v>
      </c>
      <c r="H216" s="93" t="s">
        <v>874</v>
      </c>
      <c r="I216" s="93" t="s">
        <v>88</v>
      </c>
      <c r="J216" s="93" t="s">
        <v>859</v>
      </c>
      <c r="K216" s="93" t="s">
        <v>875</v>
      </c>
      <c r="L216" s="93" t="s">
        <v>871</v>
      </c>
      <c r="M216" s="93">
        <v>602002.0</v>
      </c>
      <c r="N216" s="93" t="s">
        <v>876</v>
      </c>
      <c r="O216" s="93" t="s">
        <v>167</v>
      </c>
      <c r="P216" s="93">
        <v>12.0</v>
      </c>
      <c r="Q216" s="93" t="s">
        <v>98</v>
      </c>
      <c r="R216" s="93" t="s">
        <v>98</v>
      </c>
      <c r="S216" s="93" t="s">
        <v>98</v>
      </c>
      <c r="T216" s="93" t="s">
        <v>98</v>
      </c>
      <c r="U216" s="93" t="s">
        <v>98</v>
      </c>
      <c r="V216" s="93" t="s">
        <v>98</v>
      </c>
      <c r="W216" s="93" t="s">
        <v>98</v>
      </c>
      <c r="X216" s="93" t="s">
        <v>98</v>
      </c>
      <c r="Y216" s="93" t="s">
        <v>98</v>
      </c>
      <c r="Z216" s="93" t="s">
        <v>98</v>
      </c>
      <c r="AA216" s="93" t="s">
        <v>98</v>
      </c>
      <c r="AB216" s="93" t="s">
        <v>98</v>
      </c>
      <c r="AC216" s="93" t="s">
        <v>98</v>
      </c>
      <c r="AD216" s="93" t="s">
        <v>98</v>
      </c>
      <c r="AE216" s="93" t="s">
        <v>98</v>
      </c>
      <c r="AF216" s="93" t="s">
        <v>98</v>
      </c>
      <c r="AG216" s="93" t="s">
        <v>98</v>
      </c>
      <c r="AH216" s="93" t="s">
        <v>98</v>
      </c>
      <c r="AI216" s="93" t="s">
        <v>98</v>
      </c>
      <c r="AJ216" s="93" t="s">
        <v>98</v>
      </c>
      <c r="AK216" s="93" t="s">
        <v>98</v>
      </c>
      <c r="AL216" s="93" t="s">
        <v>98</v>
      </c>
      <c r="AM216" s="93" t="s">
        <v>98</v>
      </c>
      <c r="AN216" s="93" t="s">
        <v>98</v>
      </c>
      <c r="AO216" s="93" t="s">
        <v>98</v>
      </c>
      <c r="AP216" s="93" t="str">
        <f t="shared" si="75"/>
        <v>#REF!</v>
      </c>
      <c r="AQ216" s="95" t="s">
        <v>98</v>
      </c>
      <c r="AR216" s="95" t="s">
        <v>98</v>
      </c>
      <c r="AS216" s="95" t="str">
        <f t="shared" si="76"/>
        <v>#VALUE!</v>
      </c>
      <c r="AT216" s="95" t="s">
        <v>98</v>
      </c>
      <c r="AU216" s="95" t="s">
        <v>98</v>
      </c>
      <c r="AV216" s="95" t="s">
        <v>98</v>
      </c>
      <c r="AW216" s="95" t="s">
        <v>98</v>
      </c>
      <c r="AX216" s="95" t="s">
        <v>113</v>
      </c>
      <c r="AY216" s="93" t="str">
        <f t="shared" si="77"/>
        <v>#REF!</v>
      </c>
      <c r="AZ216" s="95"/>
      <c r="BA216" s="95"/>
    </row>
    <row r="217" ht="30.75" customHeight="1">
      <c r="A217" s="93" t="s">
        <v>81</v>
      </c>
      <c r="B217" s="94" t="s">
        <v>107</v>
      </c>
      <c r="C217" s="110" t="s">
        <v>83</v>
      </c>
      <c r="D217" s="93">
        <v>34.0</v>
      </c>
      <c r="E217" s="111" t="s">
        <v>108</v>
      </c>
      <c r="F217" s="93" t="s">
        <v>877</v>
      </c>
      <c r="G217" s="93" t="s">
        <v>161</v>
      </c>
      <c r="H217" s="93" t="s">
        <v>878</v>
      </c>
      <c r="I217" s="93" t="s">
        <v>88</v>
      </c>
      <c r="J217" s="93" t="s">
        <v>859</v>
      </c>
      <c r="K217" s="93" t="s">
        <v>879</v>
      </c>
      <c r="L217" s="93" t="s">
        <v>880</v>
      </c>
      <c r="M217" s="93" t="s">
        <v>98</v>
      </c>
      <c r="N217" s="93" t="s">
        <v>98</v>
      </c>
      <c r="O217" s="93" t="s">
        <v>753</v>
      </c>
      <c r="P217" s="111">
        <v>12.0</v>
      </c>
      <c r="Q217" s="111" t="s">
        <v>98</v>
      </c>
      <c r="R217" s="93" t="s">
        <v>98</v>
      </c>
      <c r="S217" s="93" t="s">
        <v>98</v>
      </c>
      <c r="T217" s="93" t="s">
        <v>98</v>
      </c>
      <c r="U217" s="93" t="s">
        <v>98</v>
      </c>
      <c r="V217" s="93" t="s">
        <v>98</v>
      </c>
      <c r="W217" s="93" t="s">
        <v>98</v>
      </c>
      <c r="X217" s="93" t="s">
        <v>98</v>
      </c>
      <c r="Y217" s="93" t="s">
        <v>98</v>
      </c>
      <c r="Z217" s="93" t="s">
        <v>98</v>
      </c>
      <c r="AA217" s="93" t="s">
        <v>98</v>
      </c>
      <c r="AB217" s="93" t="s">
        <v>98</v>
      </c>
      <c r="AC217" s="93" t="s">
        <v>98</v>
      </c>
      <c r="AD217" s="93" t="s">
        <v>98</v>
      </c>
      <c r="AE217" s="93" t="s">
        <v>98</v>
      </c>
      <c r="AF217" s="93" t="s">
        <v>98</v>
      </c>
      <c r="AG217" s="93" t="s">
        <v>98</v>
      </c>
      <c r="AH217" s="93" t="s">
        <v>98</v>
      </c>
      <c r="AI217" s="93" t="s">
        <v>98</v>
      </c>
      <c r="AJ217" s="93" t="s">
        <v>98</v>
      </c>
      <c r="AK217" s="93" t="s">
        <v>98</v>
      </c>
      <c r="AL217" s="93" t="s">
        <v>98</v>
      </c>
      <c r="AM217" s="93" t="s">
        <v>98</v>
      </c>
      <c r="AN217" s="93" t="s">
        <v>98</v>
      </c>
      <c r="AO217" s="93" t="s">
        <v>98</v>
      </c>
      <c r="AP217" s="93" t="str">
        <f t="shared" si="75"/>
        <v>#REF!</v>
      </c>
      <c r="AQ217" s="95" t="s">
        <v>98</v>
      </c>
      <c r="AR217" s="95" t="s">
        <v>98</v>
      </c>
      <c r="AS217" s="95" t="str">
        <f t="shared" si="76"/>
        <v>#VALUE!</v>
      </c>
      <c r="AT217" s="95" t="s">
        <v>98</v>
      </c>
      <c r="AU217" s="95" t="s">
        <v>98</v>
      </c>
      <c r="AV217" s="95" t="s">
        <v>98</v>
      </c>
      <c r="AW217" s="95" t="s">
        <v>98</v>
      </c>
      <c r="AX217" s="95" t="s">
        <v>113</v>
      </c>
      <c r="AY217" s="93" t="str">
        <f t="shared" si="77"/>
        <v>#REF!</v>
      </c>
      <c r="AZ217" s="95">
        <f t="shared" ref="AZ217:AZ219" si="79">TODAY()</f>
        <v>46171</v>
      </c>
      <c r="BA217" s="95"/>
    </row>
    <row r="218" ht="30.75" customHeight="1">
      <c r="A218" s="93" t="s">
        <v>81</v>
      </c>
      <c r="B218" s="94" t="s">
        <v>107</v>
      </c>
      <c r="C218" s="110" t="s">
        <v>83</v>
      </c>
      <c r="D218" s="93">
        <v>35.0</v>
      </c>
      <c r="E218" s="111" t="s">
        <v>108</v>
      </c>
      <c r="F218" s="93" t="s">
        <v>881</v>
      </c>
      <c r="G218" s="93" t="s">
        <v>161</v>
      </c>
      <c r="H218" s="93" t="s">
        <v>882</v>
      </c>
      <c r="I218" s="93"/>
      <c r="J218" s="93" t="s">
        <v>859</v>
      </c>
      <c r="K218" s="93" t="s">
        <v>883</v>
      </c>
      <c r="L218" s="93" t="s">
        <v>884</v>
      </c>
      <c r="M218" s="93" t="s">
        <v>98</v>
      </c>
      <c r="N218" s="93" t="s">
        <v>98</v>
      </c>
      <c r="O218" s="93" t="s">
        <v>753</v>
      </c>
      <c r="P218" s="111">
        <v>12.0</v>
      </c>
      <c r="Q218" s="111" t="s">
        <v>98</v>
      </c>
      <c r="R218" s="93" t="s">
        <v>98</v>
      </c>
      <c r="S218" s="93" t="s">
        <v>98</v>
      </c>
      <c r="T218" s="93" t="s">
        <v>98</v>
      </c>
      <c r="U218" s="93" t="s">
        <v>98</v>
      </c>
      <c r="V218" s="93" t="s">
        <v>98</v>
      </c>
      <c r="W218" s="93" t="s">
        <v>98</v>
      </c>
      <c r="X218" s="93" t="s">
        <v>98</v>
      </c>
      <c r="Y218" s="93" t="s">
        <v>98</v>
      </c>
      <c r="Z218" s="93" t="s">
        <v>98</v>
      </c>
      <c r="AA218" s="93" t="s">
        <v>98</v>
      </c>
      <c r="AB218" s="93" t="s">
        <v>98</v>
      </c>
      <c r="AC218" s="93" t="s">
        <v>98</v>
      </c>
      <c r="AD218" s="93" t="s">
        <v>98</v>
      </c>
      <c r="AE218" s="93" t="s">
        <v>98</v>
      </c>
      <c r="AF218" s="93" t="s">
        <v>98</v>
      </c>
      <c r="AG218" s="93" t="s">
        <v>98</v>
      </c>
      <c r="AH218" s="93" t="s">
        <v>98</v>
      </c>
      <c r="AI218" s="93" t="s">
        <v>98</v>
      </c>
      <c r="AJ218" s="93" t="s">
        <v>98</v>
      </c>
      <c r="AK218" s="93" t="s">
        <v>98</v>
      </c>
      <c r="AL218" s="93" t="s">
        <v>98</v>
      </c>
      <c r="AM218" s="93" t="s">
        <v>98</v>
      </c>
      <c r="AN218" s="93" t="s">
        <v>98</v>
      </c>
      <c r="AO218" s="93" t="s">
        <v>98</v>
      </c>
      <c r="AP218" s="93" t="str">
        <f t="shared" si="75"/>
        <v>#REF!</v>
      </c>
      <c r="AQ218" s="95" t="s">
        <v>98</v>
      </c>
      <c r="AR218" s="95" t="s">
        <v>98</v>
      </c>
      <c r="AS218" s="95" t="str">
        <f t="shared" si="76"/>
        <v>#VALUE!</v>
      </c>
      <c r="AT218" s="95" t="s">
        <v>98</v>
      </c>
      <c r="AU218" s="95" t="s">
        <v>98</v>
      </c>
      <c r="AV218" s="95" t="s">
        <v>98</v>
      </c>
      <c r="AW218" s="95" t="s">
        <v>98</v>
      </c>
      <c r="AX218" s="95" t="s">
        <v>113</v>
      </c>
      <c r="AY218" s="93" t="str">
        <f t="shared" si="77"/>
        <v>#REF!</v>
      </c>
      <c r="AZ218" s="95">
        <f t="shared" si="79"/>
        <v>46171</v>
      </c>
      <c r="BA218" s="95"/>
    </row>
    <row r="219" ht="30.75" customHeight="1">
      <c r="A219" s="97" t="s">
        <v>176</v>
      </c>
      <c r="B219" s="99"/>
      <c r="C219" s="99" t="s">
        <v>83</v>
      </c>
      <c r="D219" s="97">
        <v>36.0</v>
      </c>
      <c r="E219" s="100" t="s">
        <v>108</v>
      </c>
      <c r="F219" s="97" t="s">
        <v>98</v>
      </c>
      <c r="G219" s="97" t="s">
        <v>161</v>
      </c>
      <c r="H219" s="97" t="s">
        <v>885</v>
      </c>
      <c r="I219" s="97"/>
      <c r="J219" s="97" t="s">
        <v>859</v>
      </c>
      <c r="K219" s="97" t="s">
        <v>886</v>
      </c>
      <c r="L219" s="97" t="s">
        <v>871</v>
      </c>
      <c r="M219" s="97" t="s">
        <v>98</v>
      </c>
      <c r="N219" s="97" t="s">
        <v>98</v>
      </c>
      <c r="O219" s="97" t="s">
        <v>753</v>
      </c>
      <c r="P219" s="100">
        <v>12.0</v>
      </c>
      <c r="Q219" s="100" t="s">
        <v>98</v>
      </c>
      <c r="R219" s="97" t="s">
        <v>98</v>
      </c>
      <c r="S219" s="97" t="s">
        <v>98</v>
      </c>
      <c r="T219" s="97" t="s">
        <v>98</v>
      </c>
      <c r="U219" s="97" t="s">
        <v>98</v>
      </c>
      <c r="V219" s="97" t="s">
        <v>98</v>
      </c>
      <c r="W219" s="97" t="s">
        <v>98</v>
      </c>
      <c r="X219" s="97" t="s">
        <v>98</v>
      </c>
      <c r="Y219" s="97" t="s">
        <v>98</v>
      </c>
      <c r="Z219" s="97" t="s">
        <v>98</v>
      </c>
      <c r="AA219" s="97" t="s">
        <v>98</v>
      </c>
      <c r="AB219" s="97" t="s">
        <v>98</v>
      </c>
      <c r="AC219" s="97" t="s">
        <v>98</v>
      </c>
      <c r="AD219" s="97" t="s">
        <v>98</v>
      </c>
      <c r="AE219" s="97" t="s">
        <v>98</v>
      </c>
      <c r="AF219" s="97" t="s">
        <v>98</v>
      </c>
      <c r="AG219" s="97" t="s">
        <v>98</v>
      </c>
      <c r="AH219" s="97" t="s">
        <v>98</v>
      </c>
      <c r="AI219" s="97" t="s">
        <v>98</v>
      </c>
      <c r="AJ219" s="97" t="s">
        <v>98</v>
      </c>
      <c r="AK219" s="97" t="s">
        <v>98</v>
      </c>
      <c r="AL219" s="97" t="s">
        <v>98</v>
      </c>
      <c r="AM219" s="97" t="s">
        <v>98</v>
      </c>
      <c r="AN219" s="97" t="s">
        <v>98</v>
      </c>
      <c r="AO219" s="97" t="s">
        <v>98</v>
      </c>
      <c r="AP219" s="97" t="str">
        <f t="shared" si="75"/>
        <v>#REF!</v>
      </c>
      <c r="AQ219" s="101" t="s">
        <v>98</v>
      </c>
      <c r="AR219" s="101" t="s">
        <v>98</v>
      </c>
      <c r="AS219" s="101" t="str">
        <f t="shared" si="76"/>
        <v>#VALUE!</v>
      </c>
      <c r="AT219" s="101" t="s">
        <v>98</v>
      </c>
      <c r="AU219" s="101" t="s">
        <v>98</v>
      </c>
      <c r="AV219" s="101" t="s">
        <v>98</v>
      </c>
      <c r="AW219" s="101" t="s">
        <v>98</v>
      </c>
      <c r="AX219" s="101" t="s">
        <v>113</v>
      </c>
      <c r="AY219" s="97" t="str">
        <f t="shared" si="77"/>
        <v>#REF!</v>
      </c>
      <c r="AZ219" s="101">
        <f t="shared" si="79"/>
        <v>46171</v>
      </c>
      <c r="BA219" s="101"/>
    </row>
    <row r="220" ht="30.75" customHeight="1">
      <c r="A220" s="93" t="s">
        <v>81</v>
      </c>
      <c r="B220" s="94" t="s">
        <v>107</v>
      </c>
      <c r="C220" s="94" t="s">
        <v>83</v>
      </c>
      <c r="D220" s="93">
        <v>13.0</v>
      </c>
      <c r="E220" s="93" t="s">
        <v>116</v>
      </c>
      <c r="F220" s="93" t="s">
        <v>887</v>
      </c>
      <c r="G220" s="93" t="s">
        <v>161</v>
      </c>
      <c r="H220" s="93" t="s">
        <v>888</v>
      </c>
      <c r="I220" s="93" t="s">
        <v>88</v>
      </c>
      <c r="J220" s="93" t="s">
        <v>889</v>
      </c>
      <c r="K220" s="93" t="s">
        <v>890</v>
      </c>
      <c r="L220" s="93" t="s">
        <v>891</v>
      </c>
      <c r="M220" s="102">
        <v>706538.0</v>
      </c>
      <c r="N220" s="93" t="s">
        <v>348</v>
      </c>
      <c r="O220" s="93" t="s">
        <v>167</v>
      </c>
      <c r="P220" s="93">
        <v>12.0</v>
      </c>
      <c r="Q220" s="93" t="s">
        <v>98</v>
      </c>
      <c r="R220" s="93" t="s">
        <v>98</v>
      </c>
      <c r="S220" s="93" t="s">
        <v>98</v>
      </c>
      <c r="T220" s="93" t="s">
        <v>98</v>
      </c>
      <c r="U220" s="93" t="s">
        <v>98</v>
      </c>
      <c r="V220" s="93" t="s">
        <v>98</v>
      </c>
      <c r="W220" s="93" t="s">
        <v>98</v>
      </c>
      <c r="X220" s="93" t="s">
        <v>98</v>
      </c>
      <c r="Y220" s="93" t="s">
        <v>98</v>
      </c>
      <c r="Z220" s="93" t="s">
        <v>98</v>
      </c>
      <c r="AA220" s="93" t="s">
        <v>98</v>
      </c>
      <c r="AB220" s="93" t="s">
        <v>98</v>
      </c>
      <c r="AC220" s="93" t="s">
        <v>98</v>
      </c>
      <c r="AD220" s="93" t="s">
        <v>98</v>
      </c>
      <c r="AE220" s="93" t="s">
        <v>98</v>
      </c>
      <c r="AF220" s="93" t="s">
        <v>98</v>
      </c>
      <c r="AG220" s="93" t="s">
        <v>98</v>
      </c>
      <c r="AH220" s="93" t="s">
        <v>98</v>
      </c>
      <c r="AI220" s="93" t="s">
        <v>98</v>
      </c>
      <c r="AJ220" s="93" t="s">
        <v>98</v>
      </c>
      <c r="AK220" s="93" t="s">
        <v>98</v>
      </c>
      <c r="AL220" s="93" t="s">
        <v>98</v>
      </c>
      <c r="AM220" s="93" t="s">
        <v>98</v>
      </c>
      <c r="AN220" s="93" t="s">
        <v>98</v>
      </c>
      <c r="AO220" s="93" t="s">
        <v>98</v>
      </c>
      <c r="AP220" s="93" t="str">
        <f t="shared" si="75"/>
        <v>#REF!</v>
      </c>
      <c r="AQ220" s="95" t="s">
        <v>98</v>
      </c>
      <c r="AR220" s="95" t="s">
        <v>98</v>
      </c>
      <c r="AS220" s="95" t="str">
        <f t="shared" si="76"/>
        <v>#VALUE!</v>
      </c>
      <c r="AT220" s="95" t="s">
        <v>98</v>
      </c>
      <c r="AU220" s="95" t="s">
        <v>98</v>
      </c>
      <c r="AV220" s="95" t="s">
        <v>98</v>
      </c>
      <c r="AW220" s="95" t="s">
        <v>98</v>
      </c>
      <c r="AX220" s="95" t="s">
        <v>113</v>
      </c>
      <c r="AY220" s="93" t="str">
        <f t="shared" si="77"/>
        <v>#REF!</v>
      </c>
      <c r="AZ220" s="95"/>
      <c r="BA220" s="95"/>
    </row>
    <row r="221" ht="30.75" customHeight="1">
      <c r="A221" s="93" t="s">
        <v>81</v>
      </c>
      <c r="B221" s="94" t="s">
        <v>107</v>
      </c>
      <c r="C221" s="110" t="s">
        <v>83</v>
      </c>
      <c r="D221" s="93">
        <v>66.0</v>
      </c>
      <c r="E221" s="111" t="s">
        <v>108</v>
      </c>
      <c r="F221" s="93" t="s">
        <v>98</v>
      </c>
      <c r="G221" s="93" t="s">
        <v>86</v>
      </c>
      <c r="H221" s="93" t="s">
        <v>98</v>
      </c>
      <c r="I221" s="93" t="s">
        <v>88</v>
      </c>
      <c r="J221" s="93" t="s">
        <v>892</v>
      </c>
      <c r="K221" s="93" t="s">
        <v>893</v>
      </c>
      <c r="L221" s="93" t="s">
        <v>894</v>
      </c>
      <c r="M221" s="93">
        <v>65040.0</v>
      </c>
      <c r="N221" s="93" t="s">
        <v>893</v>
      </c>
      <c r="O221" s="93" t="s">
        <v>895</v>
      </c>
      <c r="P221" s="111" t="s">
        <v>98</v>
      </c>
      <c r="Q221" s="111" t="s">
        <v>98</v>
      </c>
      <c r="R221" s="111" t="s">
        <v>98</v>
      </c>
      <c r="S221" s="111" t="s">
        <v>98</v>
      </c>
      <c r="T221" s="111" t="s">
        <v>98</v>
      </c>
      <c r="U221" s="111" t="s">
        <v>98</v>
      </c>
      <c r="V221" s="111" t="s">
        <v>98</v>
      </c>
      <c r="W221" s="111" t="s">
        <v>98</v>
      </c>
      <c r="X221" s="111" t="s">
        <v>98</v>
      </c>
      <c r="Y221" s="111" t="s">
        <v>98</v>
      </c>
      <c r="Z221" s="111" t="s">
        <v>98</v>
      </c>
      <c r="AA221" s="111" t="s">
        <v>98</v>
      </c>
      <c r="AB221" s="111" t="s">
        <v>98</v>
      </c>
      <c r="AC221" s="111" t="s">
        <v>98</v>
      </c>
      <c r="AD221" s="111" t="s">
        <v>98</v>
      </c>
      <c r="AE221" s="111" t="s">
        <v>98</v>
      </c>
      <c r="AF221" s="111" t="s">
        <v>98</v>
      </c>
      <c r="AG221" s="111" t="s">
        <v>98</v>
      </c>
      <c r="AH221" s="111" t="s">
        <v>98</v>
      </c>
      <c r="AI221" s="111" t="s">
        <v>98</v>
      </c>
      <c r="AJ221" s="111" t="s">
        <v>98</v>
      </c>
      <c r="AK221" s="111" t="s">
        <v>98</v>
      </c>
      <c r="AL221" s="111" t="s">
        <v>98</v>
      </c>
      <c r="AM221" s="111" t="s">
        <v>98</v>
      </c>
      <c r="AN221" s="111" t="s">
        <v>98</v>
      </c>
      <c r="AO221" s="111" t="s">
        <v>98</v>
      </c>
      <c r="AP221" s="93" t="str">
        <f t="shared" si="75"/>
        <v>#REF!</v>
      </c>
      <c r="AQ221" s="93" t="s">
        <v>98</v>
      </c>
      <c r="AR221" s="93" t="s">
        <v>98</v>
      </c>
      <c r="AS221" s="95" t="str">
        <f t="shared" si="76"/>
        <v>#VALUE!</v>
      </c>
      <c r="AT221" s="93" t="s">
        <v>98</v>
      </c>
      <c r="AU221" s="93" t="s">
        <v>98</v>
      </c>
      <c r="AV221" s="93" t="s">
        <v>98</v>
      </c>
      <c r="AW221" s="93" t="s">
        <v>98</v>
      </c>
      <c r="AX221" s="93" t="s">
        <v>113</v>
      </c>
      <c r="AY221" s="93" t="str">
        <f t="shared" si="77"/>
        <v>#REF!</v>
      </c>
      <c r="AZ221" s="95">
        <f t="shared" ref="AZ221:AZ227" si="80">TODAY()</f>
        <v>46171</v>
      </c>
      <c r="BA221" s="95"/>
    </row>
    <row r="222" ht="30.75" customHeight="1">
      <c r="A222" s="93" t="s">
        <v>81</v>
      </c>
      <c r="B222" s="94" t="s">
        <v>107</v>
      </c>
      <c r="C222" s="110" t="s">
        <v>83</v>
      </c>
      <c r="D222" s="93">
        <v>67.0</v>
      </c>
      <c r="E222" s="111" t="s">
        <v>108</v>
      </c>
      <c r="F222" s="93" t="s">
        <v>98</v>
      </c>
      <c r="G222" s="93" t="s">
        <v>86</v>
      </c>
      <c r="H222" s="93" t="s">
        <v>98</v>
      </c>
      <c r="I222" s="93" t="s">
        <v>88</v>
      </c>
      <c r="J222" s="93" t="s">
        <v>892</v>
      </c>
      <c r="K222" s="93" t="s">
        <v>893</v>
      </c>
      <c r="L222" s="93" t="s">
        <v>894</v>
      </c>
      <c r="M222" s="93">
        <v>65039.0</v>
      </c>
      <c r="N222" s="93" t="s">
        <v>893</v>
      </c>
      <c r="O222" s="93" t="s">
        <v>895</v>
      </c>
      <c r="P222" s="111" t="s">
        <v>98</v>
      </c>
      <c r="Q222" s="111" t="s">
        <v>98</v>
      </c>
      <c r="R222" s="111" t="s">
        <v>98</v>
      </c>
      <c r="S222" s="111" t="s">
        <v>98</v>
      </c>
      <c r="T222" s="111" t="s">
        <v>98</v>
      </c>
      <c r="U222" s="111" t="s">
        <v>98</v>
      </c>
      <c r="V222" s="111" t="s">
        <v>98</v>
      </c>
      <c r="W222" s="111" t="s">
        <v>98</v>
      </c>
      <c r="X222" s="111" t="s">
        <v>98</v>
      </c>
      <c r="Y222" s="111" t="s">
        <v>98</v>
      </c>
      <c r="Z222" s="111" t="s">
        <v>98</v>
      </c>
      <c r="AA222" s="111" t="s">
        <v>98</v>
      </c>
      <c r="AB222" s="111" t="s">
        <v>98</v>
      </c>
      <c r="AC222" s="111" t="s">
        <v>98</v>
      </c>
      <c r="AD222" s="111" t="s">
        <v>98</v>
      </c>
      <c r="AE222" s="111" t="s">
        <v>98</v>
      </c>
      <c r="AF222" s="111" t="s">
        <v>98</v>
      </c>
      <c r="AG222" s="111" t="s">
        <v>98</v>
      </c>
      <c r="AH222" s="111" t="s">
        <v>98</v>
      </c>
      <c r="AI222" s="111" t="s">
        <v>98</v>
      </c>
      <c r="AJ222" s="111" t="s">
        <v>98</v>
      </c>
      <c r="AK222" s="111" t="s">
        <v>98</v>
      </c>
      <c r="AL222" s="111" t="s">
        <v>98</v>
      </c>
      <c r="AM222" s="111" t="s">
        <v>98</v>
      </c>
      <c r="AN222" s="111" t="s">
        <v>98</v>
      </c>
      <c r="AO222" s="111" t="s">
        <v>98</v>
      </c>
      <c r="AP222" s="93" t="str">
        <f t="shared" si="75"/>
        <v>#REF!</v>
      </c>
      <c r="AQ222" s="93" t="s">
        <v>98</v>
      </c>
      <c r="AR222" s="93" t="s">
        <v>98</v>
      </c>
      <c r="AS222" s="95" t="str">
        <f t="shared" si="76"/>
        <v>#VALUE!</v>
      </c>
      <c r="AT222" s="93" t="s">
        <v>98</v>
      </c>
      <c r="AU222" s="93" t="s">
        <v>98</v>
      </c>
      <c r="AV222" s="93" t="s">
        <v>98</v>
      </c>
      <c r="AW222" s="93" t="s">
        <v>98</v>
      </c>
      <c r="AX222" s="93" t="s">
        <v>113</v>
      </c>
      <c r="AY222" s="93" t="str">
        <f t="shared" si="77"/>
        <v>#REF!</v>
      </c>
      <c r="AZ222" s="95">
        <f t="shared" si="80"/>
        <v>46171</v>
      </c>
      <c r="BA222" s="95"/>
    </row>
    <row r="223" ht="30.75" customHeight="1">
      <c r="A223" s="97" t="s">
        <v>176</v>
      </c>
      <c r="B223" s="99"/>
      <c r="C223" s="99" t="s">
        <v>83</v>
      </c>
      <c r="D223" s="97">
        <v>37.0</v>
      </c>
      <c r="E223" s="100" t="s">
        <v>108</v>
      </c>
      <c r="F223" s="97" t="s">
        <v>896</v>
      </c>
      <c r="G223" s="97" t="s">
        <v>86</v>
      </c>
      <c r="H223" s="97" t="s">
        <v>897</v>
      </c>
      <c r="I223" s="97" t="s">
        <v>88</v>
      </c>
      <c r="J223" s="97" t="s">
        <v>898</v>
      </c>
      <c r="K223" s="97" t="s">
        <v>98</v>
      </c>
      <c r="L223" s="97" t="s">
        <v>899</v>
      </c>
      <c r="M223" s="97" t="s">
        <v>98</v>
      </c>
      <c r="N223" s="97" t="s">
        <v>98</v>
      </c>
      <c r="O223" s="97" t="s">
        <v>753</v>
      </c>
      <c r="P223" s="100">
        <v>12.0</v>
      </c>
      <c r="Q223" s="100" t="s">
        <v>98</v>
      </c>
      <c r="R223" s="97" t="s">
        <v>98</v>
      </c>
      <c r="S223" s="97" t="s">
        <v>98</v>
      </c>
      <c r="T223" s="97" t="s">
        <v>98</v>
      </c>
      <c r="U223" s="97" t="s">
        <v>98</v>
      </c>
      <c r="V223" s="97" t="s">
        <v>98</v>
      </c>
      <c r="W223" s="97" t="s">
        <v>98</v>
      </c>
      <c r="X223" s="97" t="s">
        <v>98</v>
      </c>
      <c r="Y223" s="97" t="s">
        <v>98</v>
      </c>
      <c r="Z223" s="97" t="s">
        <v>98</v>
      </c>
      <c r="AA223" s="97" t="s">
        <v>98</v>
      </c>
      <c r="AB223" s="97" t="s">
        <v>98</v>
      </c>
      <c r="AC223" s="97" t="s">
        <v>98</v>
      </c>
      <c r="AD223" s="97" t="s">
        <v>98</v>
      </c>
      <c r="AE223" s="97" t="s">
        <v>98</v>
      </c>
      <c r="AF223" s="97" t="s">
        <v>98</v>
      </c>
      <c r="AG223" s="97" t="s">
        <v>98</v>
      </c>
      <c r="AH223" s="97" t="s">
        <v>98</v>
      </c>
      <c r="AI223" s="97" t="s">
        <v>98</v>
      </c>
      <c r="AJ223" s="97" t="s">
        <v>98</v>
      </c>
      <c r="AK223" s="97" t="s">
        <v>98</v>
      </c>
      <c r="AL223" s="97" t="s">
        <v>98</v>
      </c>
      <c r="AM223" s="97" t="s">
        <v>98</v>
      </c>
      <c r="AN223" s="97" t="s">
        <v>98</v>
      </c>
      <c r="AO223" s="97" t="s">
        <v>98</v>
      </c>
      <c r="AP223" s="97" t="str">
        <f t="shared" si="75"/>
        <v>#REF!</v>
      </c>
      <c r="AQ223" s="101" t="s">
        <v>98</v>
      </c>
      <c r="AR223" s="101" t="s">
        <v>98</v>
      </c>
      <c r="AS223" s="101" t="str">
        <f t="shared" si="76"/>
        <v>#VALUE!</v>
      </c>
      <c r="AT223" s="101" t="s">
        <v>98</v>
      </c>
      <c r="AU223" s="101" t="s">
        <v>98</v>
      </c>
      <c r="AV223" s="101" t="s">
        <v>98</v>
      </c>
      <c r="AW223" s="101" t="s">
        <v>98</v>
      </c>
      <c r="AX223" s="101" t="s">
        <v>113</v>
      </c>
      <c r="AY223" s="97" t="str">
        <f t="shared" si="77"/>
        <v>#REF!</v>
      </c>
      <c r="AZ223" s="101">
        <f t="shared" si="80"/>
        <v>46171</v>
      </c>
      <c r="BA223" s="101"/>
    </row>
    <row r="224" ht="30.75" customHeight="1">
      <c r="A224" s="93" t="s">
        <v>81</v>
      </c>
      <c r="B224" s="94" t="s">
        <v>82</v>
      </c>
      <c r="C224" s="94" t="s">
        <v>83</v>
      </c>
      <c r="D224" s="93">
        <v>12.0</v>
      </c>
      <c r="E224" s="93" t="s">
        <v>153</v>
      </c>
      <c r="F224" s="93" t="s">
        <v>98</v>
      </c>
      <c r="G224" s="93" t="s">
        <v>86</v>
      </c>
      <c r="H224" s="93" t="s">
        <v>900</v>
      </c>
      <c r="I224" s="93" t="s">
        <v>88</v>
      </c>
      <c r="J224" s="93" t="s">
        <v>901</v>
      </c>
      <c r="K224" s="93" t="s">
        <v>902</v>
      </c>
      <c r="L224" s="93" t="s">
        <v>903</v>
      </c>
      <c r="M224" s="93">
        <v>1.3508507E7</v>
      </c>
      <c r="N224" s="93" t="s">
        <v>904</v>
      </c>
      <c r="O224" s="93" t="s">
        <v>652</v>
      </c>
      <c r="P224" s="93">
        <v>12.0</v>
      </c>
      <c r="Q224" s="93" t="s">
        <v>98</v>
      </c>
      <c r="R224" s="93" t="s">
        <v>98</v>
      </c>
      <c r="S224" s="93" t="s">
        <v>98</v>
      </c>
      <c r="T224" s="93" t="s">
        <v>98</v>
      </c>
      <c r="U224" s="93" t="s">
        <v>98</v>
      </c>
      <c r="V224" s="93" t="s">
        <v>98</v>
      </c>
      <c r="W224" s="93" t="s">
        <v>98</v>
      </c>
      <c r="X224" s="93" t="s">
        <v>98</v>
      </c>
      <c r="Y224" s="93" t="s">
        <v>98</v>
      </c>
      <c r="Z224" s="93" t="s">
        <v>98</v>
      </c>
      <c r="AA224" s="93" t="s">
        <v>98</v>
      </c>
      <c r="AB224" s="93" t="s">
        <v>98</v>
      </c>
      <c r="AC224" s="93" t="s">
        <v>98</v>
      </c>
      <c r="AD224" s="93" t="s">
        <v>98</v>
      </c>
      <c r="AE224" s="93" t="s">
        <v>98</v>
      </c>
      <c r="AF224" s="93" t="s">
        <v>98</v>
      </c>
      <c r="AG224" s="93" t="s">
        <v>98</v>
      </c>
      <c r="AH224" s="93" t="s">
        <v>98</v>
      </c>
      <c r="AI224" s="93" t="s">
        <v>98</v>
      </c>
      <c r="AJ224" s="93">
        <v>1.0</v>
      </c>
      <c r="AK224" s="93">
        <v>1.0</v>
      </c>
      <c r="AL224" s="93" t="s">
        <v>98</v>
      </c>
      <c r="AM224" s="93" t="s">
        <v>98</v>
      </c>
      <c r="AN224" s="93" t="s">
        <v>98</v>
      </c>
      <c r="AO224" s="93" t="s">
        <v>98</v>
      </c>
      <c r="AP224" s="93" t="str">
        <f t="shared" si="75"/>
        <v>#REF!</v>
      </c>
      <c r="AQ224" s="93" t="s">
        <v>905</v>
      </c>
      <c r="AR224" s="93" t="s">
        <v>905</v>
      </c>
      <c r="AS224" s="93" t="s">
        <v>906</v>
      </c>
      <c r="AT224" s="93" t="s">
        <v>907</v>
      </c>
      <c r="AU224" s="93" t="s">
        <v>98</v>
      </c>
      <c r="AV224" s="93" t="s">
        <v>98</v>
      </c>
      <c r="AW224" s="93" t="s">
        <v>98</v>
      </c>
      <c r="AX224" s="93" t="s">
        <v>113</v>
      </c>
      <c r="AY224" s="93" t="str">
        <f t="shared" si="77"/>
        <v>#REF!</v>
      </c>
      <c r="AZ224" s="95">
        <f t="shared" si="80"/>
        <v>46171</v>
      </c>
      <c r="BA224" s="95"/>
    </row>
    <row r="225" ht="30.75" customHeight="1">
      <c r="A225" s="93"/>
      <c r="B225" s="94" t="s">
        <v>82</v>
      </c>
      <c r="C225" s="94" t="s">
        <v>83</v>
      </c>
      <c r="D225" s="93">
        <v>11.0</v>
      </c>
      <c r="E225" s="93" t="s">
        <v>153</v>
      </c>
      <c r="F225" s="93"/>
      <c r="G225" s="93" t="s">
        <v>86</v>
      </c>
      <c r="H225" s="93" t="s">
        <v>908</v>
      </c>
      <c r="I225" s="93" t="s">
        <v>88</v>
      </c>
      <c r="J225" s="93" t="s">
        <v>909</v>
      </c>
      <c r="K225" s="93" t="s">
        <v>902</v>
      </c>
      <c r="L225" s="93" t="s">
        <v>910</v>
      </c>
      <c r="M225" s="93">
        <v>1.0192654E7</v>
      </c>
      <c r="N225" s="93" t="s">
        <v>904</v>
      </c>
      <c r="O225" s="93" t="s">
        <v>652</v>
      </c>
      <c r="P225" s="93">
        <v>12.0</v>
      </c>
      <c r="Q225" s="93">
        <v>12.0</v>
      </c>
      <c r="R225" s="93"/>
      <c r="S225" s="93"/>
      <c r="T225" s="93"/>
      <c r="U225" s="93"/>
      <c r="V225" s="93">
        <v>1.0</v>
      </c>
      <c r="W225" s="93">
        <v>1.0</v>
      </c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 t="str">
        <f t="shared" si="75"/>
        <v>#REF!</v>
      </c>
      <c r="AQ225" s="95">
        <v>45012.0</v>
      </c>
      <c r="AR225" s="95">
        <v>45012.0</v>
      </c>
      <c r="AS225" s="95">
        <f t="shared" ref="AS225:AS229" si="81">DATE(YEAR(AQ225),MONTH(AQ225)+P225,DAY(AQ225))</f>
        <v>45378</v>
      </c>
      <c r="AT225" s="93" t="s">
        <v>911</v>
      </c>
      <c r="AU225" s="93" t="s">
        <v>98</v>
      </c>
      <c r="AV225" s="93" t="s">
        <v>98</v>
      </c>
      <c r="AW225" s="93" t="s">
        <v>98</v>
      </c>
      <c r="AX225" s="93" t="s">
        <v>99</v>
      </c>
      <c r="AY225" s="93" t="str">
        <f t="shared" si="77"/>
        <v>#REF!</v>
      </c>
      <c r="AZ225" s="95">
        <f t="shared" si="80"/>
        <v>46171</v>
      </c>
      <c r="BA225" s="95"/>
    </row>
    <row r="226" ht="30.75" customHeight="1">
      <c r="A226" s="93"/>
      <c r="B226" s="94" t="s">
        <v>82</v>
      </c>
      <c r="C226" s="94" t="s">
        <v>83</v>
      </c>
      <c r="D226" s="93">
        <v>10.0</v>
      </c>
      <c r="E226" s="93" t="s">
        <v>153</v>
      </c>
      <c r="F226" s="93" t="s">
        <v>98</v>
      </c>
      <c r="G226" s="93" t="s">
        <v>86</v>
      </c>
      <c r="H226" s="93" t="s">
        <v>912</v>
      </c>
      <c r="I226" s="93" t="s">
        <v>88</v>
      </c>
      <c r="J226" s="93" t="s">
        <v>909</v>
      </c>
      <c r="K226" s="93" t="s">
        <v>902</v>
      </c>
      <c r="L226" s="93" t="s">
        <v>910</v>
      </c>
      <c r="M226" s="93">
        <v>1.3520219E7</v>
      </c>
      <c r="N226" s="93" t="s">
        <v>904</v>
      </c>
      <c r="O226" s="93" t="s">
        <v>652</v>
      </c>
      <c r="P226" s="93">
        <v>12.0</v>
      </c>
      <c r="Q226" s="93">
        <v>12.0</v>
      </c>
      <c r="R226" s="93"/>
      <c r="S226" s="93"/>
      <c r="T226" s="93"/>
      <c r="U226" s="93"/>
      <c r="V226" s="93">
        <v>1.0</v>
      </c>
      <c r="W226" s="93">
        <v>1.0</v>
      </c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 t="str">
        <f t="shared" si="75"/>
        <v>#REF!</v>
      </c>
      <c r="AQ226" s="95">
        <v>45012.0</v>
      </c>
      <c r="AR226" s="95">
        <v>45012.0</v>
      </c>
      <c r="AS226" s="95">
        <f t="shared" si="81"/>
        <v>45378</v>
      </c>
      <c r="AT226" s="93" t="s">
        <v>913</v>
      </c>
      <c r="AU226" s="93" t="s">
        <v>98</v>
      </c>
      <c r="AV226" s="93" t="s">
        <v>98</v>
      </c>
      <c r="AW226" s="93" t="s">
        <v>98</v>
      </c>
      <c r="AX226" s="93" t="s">
        <v>99</v>
      </c>
      <c r="AY226" s="93" t="str">
        <f t="shared" si="77"/>
        <v>#REF!</v>
      </c>
      <c r="AZ226" s="95">
        <f t="shared" si="80"/>
        <v>46171</v>
      </c>
      <c r="BA226" s="95"/>
    </row>
    <row r="227" ht="30.75" customHeight="1">
      <c r="A227" s="93"/>
      <c r="B227" s="94" t="s">
        <v>82</v>
      </c>
      <c r="C227" s="94" t="s">
        <v>83</v>
      </c>
      <c r="D227" s="93">
        <v>13.0</v>
      </c>
      <c r="E227" s="93" t="s">
        <v>153</v>
      </c>
      <c r="F227" s="93" t="s">
        <v>98</v>
      </c>
      <c r="G227" s="93" t="s">
        <v>86</v>
      </c>
      <c r="H227" s="93" t="s">
        <v>914</v>
      </c>
      <c r="I227" s="93" t="s">
        <v>88</v>
      </c>
      <c r="J227" s="93" t="s">
        <v>915</v>
      </c>
      <c r="K227" s="93" t="s">
        <v>902</v>
      </c>
      <c r="L227" s="93" t="s">
        <v>910</v>
      </c>
      <c r="M227" s="93">
        <v>1.3510522E7</v>
      </c>
      <c r="N227" s="93" t="s">
        <v>904</v>
      </c>
      <c r="O227" s="93" t="s">
        <v>652</v>
      </c>
      <c r="P227" s="93">
        <v>12.0</v>
      </c>
      <c r="Q227" s="93">
        <v>12.0</v>
      </c>
      <c r="R227" s="93"/>
      <c r="S227" s="93"/>
      <c r="T227" s="93"/>
      <c r="U227" s="93"/>
      <c r="V227" s="93">
        <v>1.0</v>
      </c>
      <c r="W227" s="93">
        <v>1.0</v>
      </c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 t="str">
        <f t="shared" si="75"/>
        <v>#REF!</v>
      </c>
      <c r="AQ227" s="95">
        <v>45012.0</v>
      </c>
      <c r="AR227" s="95">
        <v>45012.0</v>
      </c>
      <c r="AS227" s="95">
        <f t="shared" si="81"/>
        <v>45378</v>
      </c>
      <c r="AT227" s="93" t="s">
        <v>916</v>
      </c>
      <c r="AU227" s="93" t="s">
        <v>98</v>
      </c>
      <c r="AV227" s="93" t="s">
        <v>98</v>
      </c>
      <c r="AW227" s="93" t="s">
        <v>98</v>
      </c>
      <c r="AX227" s="93" t="s">
        <v>99</v>
      </c>
      <c r="AY227" s="93" t="str">
        <f t="shared" si="77"/>
        <v>#REF!</v>
      </c>
      <c r="AZ227" s="95">
        <f t="shared" si="80"/>
        <v>46171</v>
      </c>
      <c r="BA227" s="95"/>
    </row>
    <row r="228" ht="30.75" customHeight="1">
      <c r="A228" s="93" t="s">
        <v>81</v>
      </c>
      <c r="B228" s="94" t="s">
        <v>82</v>
      </c>
      <c r="C228" s="94" t="s">
        <v>83</v>
      </c>
      <c r="D228" s="93">
        <v>14.0</v>
      </c>
      <c r="E228" s="93" t="s">
        <v>116</v>
      </c>
      <c r="F228" s="93" t="s">
        <v>98</v>
      </c>
      <c r="G228" s="93" t="s">
        <v>86</v>
      </c>
      <c r="H228" s="93" t="s">
        <v>917</v>
      </c>
      <c r="I228" s="93" t="s">
        <v>88</v>
      </c>
      <c r="J228" s="93" t="s">
        <v>918</v>
      </c>
      <c r="K228" s="93" t="s">
        <v>902</v>
      </c>
      <c r="L228" s="93" t="s">
        <v>919</v>
      </c>
      <c r="M228" s="102">
        <v>5081156.0</v>
      </c>
      <c r="N228" s="93" t="s">
        <v>920</v>
      </c>
      <c r="O228" s="93" t="s">
        <v>678</v>
      </c>
      <c r="P228" s="93">
        <v>12.0</v>
      </c>
      <c r="Q228" s="93" t="s">
        <v>98</v>
      </c>
      <c r="R228" s="93" t="s">
        <v>98</v>
      </c>
      <c r="S228" s="93" t="s">
        <v>98</v>
      </c>
      <c r="T228" s="93" t="s">
        <v>98</v>
      </c>
      <c r="U228" s="93" t="s">
        <v>98</v>
      </c>
      <c r="V228" s="93" t="s">
        <v>98</v>
      </c>
      <c r="W228" s="93" t="s">
        <v>98</v>
      </c>
      <c r="X228" s="93" t="s">
        <v>98</v>
      </c>
      <c r="Y228" s="93" t="s">
        <v>98</v>
      </c>
      <c r="Z228" s="93" t="s">
        <v>98</v>
      </c>
      <c r="AA228" s="93" t="s">
        <v>98</v>
      </c>
      <c r="AB228" s="93" t="s">
        <v>98</v>
      </c>
      <c r="AC228" s="93" t="s">
        <v>98</v>
      </c>
      <c r="AD228" s="93" t="s">
        <v>98</v>
      </c>
      <c r="AE228" s="93" t="s">
        <v>98</v>
      </c>
      <c r="AF228" s="93" t="s">
        <v>98</v>
      </c>
      <c r="AG228" s="93" t="s">
        <v>98</v>
      </c>
      <c r="AH228" s="93" t="s">
        <v>98</v>
      </c>
      <c r="AI228" s="93" t="s">
        <v>98</v>
      </c>
      <c r="AJ228" s="93" t="s">
        <v>98</v>
      </c>
      <c r="AK228" s="93" t="s">
        <v>98</v>
      </c>
      <c r="AL228" s="93" t="s">
        <v>98</v>
      </c>
      <c r="AM228" s="93" t="s">
        <v>98</v>
      </c>
      <c r="AN228" s="93" t="s">
        <v>98</v>
      </c>
      <c r="AO228" s="93" t="s">
        <v>98</v>
      </c>
      <c r="AP228" s="93" t="str">
        <f t="shared" si="75"/>
        <v>#REF!</v>
      </c>
      <c r="AQ228" s="93" t="s">
        <v>98</v>
      </c>
      <c r="AR228" s="93" t="s">
        <v>98</v>
      </c>
      <c r="AS228" s="95" t="str">
        <f t="shared" si="81"/>
        <v>#VALUE!</v>
      </c>
      <c r="AT228" s="93" t="s">
        <v>98</v>
      </c>
      <c r="AU228" s="93" t="s">
        <v>98</v>
      </c>
      <c r="AV228" s="93" t="s">
        <v>98</v>
      </c>
      <c r="AW228" s="93" t="s">
        <v>98</v>
      </c>
      <c r="AX228" s="93" t="s">
        <v>113</v>
      </c>
      <c r="AY228" s="93" t="str">
        <f t="shared" si="77"/>
        <v>#REF!</v>
      </c>
      <c r="AZ228" s="95"/>
      <c r="BA228" s="95"/>
    </row>
    <row r="229" ht="30.75" customHeight="1">
      <c r="A229" s="93"/>
      <c r="B229" s="94" t="s">
        <v>82</v>
      </c>
      <c r="C229" s="94" t="s">
        <v>83</v>
      </c>
      <c r="D229" s="93">
        <v>8.0</v>
      </c>
      <c r="E229" s="93" t="s">
        <v>336</v>
      </c>
      <c r="F229" s="93" t="s">
        <v>98</v>
      </c>
      <c r="G229" s="93" t="s">
        <v>86</v>
      </c>
      <c r="H229" s="93" t="s">
        <v>921</v>
      </c>
      <c r="I229" s="93" t="s">
        <v>88</v>
      </c>
      <c r="J229" s="93" t="s">
        <v>918</v>
      </c>
      <c r="K229" s="93" t="s">
        <v>902</v>
      </c>
      <c r="L229" s="93" t="s">
        <v>922</v>
      </c>
      <c r="M229" s="93">
        <v>5081160.0</v>
      </c>
      <c r="N229" s="93" t="s">
        <v>920</v>
      </c>
      <c r="O229" s="93" t="s">
        <v>652</v>
      </c>
      <c r="P229" s="93">
        <v>12.0</v>
      </c>
      <c r="Q229" s="93" t="s">
        <v>98</v>
      </c>
      <c r="R229" s="93" t="s">
        <v>98</v>
      </c>
      <c r="S229" s="93" t="s">
        <v>98</v>
      </c>
      <c r="T229" s="93" t="s">
        <v>98</v>
      </c>
      <c r="U229" s="93" t="s">
        <v>98</v>
      </c>
      <c r="V229" s="93" t="s">
        <v>98</v>
      </c>
      <c r="W229" s="93" t="s">
        <v>98</v>
      </c>
      <c r="X229" s="93" t="s">
        <v>98</v>
      </c>
      <c r="Y229" s="93" t="s">
        <v>98</v>
      </c>
      <c r="Z229" s="93" t="s">
        <v>98</v>
      </c>
      <c r="AA229" s="93" t="s">
        <v>98</v>
      </c>
      <c r="AB229" s="93" t="s">
        <v>98</v>
      </c>
      <c r="AC229" s="93" t="s">
        <v>98</v>
      </c>
      <c r="AD229" s="93" t="s">
        <v>98</v>
      </c>
      <c r="AE229" s="93" t="s">
        <v>98</v>
      </c>
      <c r="AF229" s="93" t="s">
        <v>98</v>
      </c>
      <c r="AG229" s="93" t="s">
        <v>98</v>
      </c>
      <c r="AH229" s="93" t="s">
        <v>98</v>
      </c>
      <c r="AI229" s="93" t="s">
        <v>98</v>
      </c>
      <c r="AJ229" s="93" t="s">
        <v>98</v>
      </c>
      <c r="AK229" s="93" t="s">
        <v>98</v>
      </c>
      <c r="AL229" s="93" t="s">
        <v>98</v>
      </c>
      <c r="AM229" s="93" t="s">
        <v>98</v>
      </c>
      <c r="AN229" s="93" t="s">
        <v>98</v>
      </c>
      <c r="AO229" s="93" t="s">
        <v>98</v>
      </c>
      <c r="AP229" s="93" t="str">
        <f t="shared" si="75"/>
        <v>#REF!</v>
      </c>
      <c r="AQ229" s="93" t="s">
        <v>98</v>
      </c>
      <c r="AR229" s="93" t="s">
        <v>98</v>
      </c>
      <c r="AS229" s="95" t="str">
        <f t="shared" si="81"/>
        <v>#VALUE!</v>
      </c>
      <c r="AT229" s="93" t="s">
        <v>98</v>
      </c>
      <c r="AU229" s="93" t="s">
        <v>98</v>
      </c>
      <c r="AV229" s="93" t="s">
        <v>98</v>
      </c>
      <c r="AW229" s="93" t="s">
        <v>98</v>
      </c>
      <c r="AX229" s="93" t="s">
        <v>113</v>
      </c>
      <c r="AY229" s="93" t="str">
        <f t="shared" si="77"/>
        <v>#REF!</v>
      </c>
      <c r="AZ229" s="95">
        <f t="shared" ref="AZ229:AZ244" si="82">TODAY()</f>
        <v>46171</v>
      </c>
      <c r="BA229" s="95"/>
    </row>
    <row r="230" ht="30.75" customHeight="1">
      <c r="A230" s="93" t="s">
        <v>81</v>
      </c>
      <c r="B230" s="94" t="s">
        <v>82</v>
      </c>
      <c r="C230" s="94" t="s">
        <v>83</v>
      </c>
      <c r="D230" s="93">
        <v>16.0</v>
      </c>
      <c r="E230" s="93" t="s">
        <v>153</v>
      </c>
      <c r="F230" s="93"/>
      <c r="G230" s="93" t="s">
        <v>86</v>
      </c>
      <c r="H230" s="93"/>
      <c r="I230" s="93" t="s">
        <v>88</v>
      </c>
      <c r="J230" s="93" t="s">
        <v>923</v>
      </c>
      <c r="K230" s="93" t="s">
        <v>902</v>
      </c>
      <c r="L230" s="93" t="s">
        <v>910</v>
      </c>
      <c r="M230" s="93">
        <v>1.3508106E7</v>
      </c>
      <c r="N230" s="93"/>
      <c r="O230" s="93" t="s">
        <v>678</v>
      </c>
      <c r="P230" s="93">
        <v>12.0</v>
      </c>
      <c r="Q230" s="93">
        <v>12.0</v>
      </c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>
        <v>1.0</v>
      </c>
      <c r="AI230" s="93">
        <v>1.0</v>
      </c>
      <c r="AJ230" s="93"/>
      <c r="AK230" s="93"/>
      <c r="AL230" s="93"/>
      <c r="AM230" s="93"/>
      <c r="AN230" s="93"/>
      <c r="AO230" s="93"/>
      <c r="AP230" s="93" t="str">
        <f t="shared" si="75"/>
        <v>#REF!</v>
      </c>
      <c r="AQ230" s="93" t="s">
        <v>924</v>
      </c>
      <c r="AR230" s="93" t="s">
        <v>924</v>
      </c>
      <c r="AS230" s="93" t="s">
        <v>925</v>
      </c>
      <c r="AT230" s="93" t="s">
        <v>926</v>
      </c>
      <c r="AU230" s="93" t="s">
        <v>98</v>
      </c>
      <c r="AV230" s="93" t="s">
        <v>98</v>
      </c>
      <c r="AW230" s="93" t="s">
        <v>98</v>
      </c>
      <c r="AX230" s="93" t="s">
        <v>99</v>
      </c>
      <c r="AY230" s="93" t="str">
        <f t="shared" si="77"/>
        <v>#REF!</v>
      </c>
      <c r="AZ230" s="95">
        <f t="shared" si="82"/>
        <v>46171</v>
      </c>
      <c r="BA230" s="95"/>
    </row>
    <row r="231" ht="30.75" customHeight="1">
      <c r="A231" s="93"/>
      <c r="B231" s="94" t="s">
        <v>82</v>
      </c>
      <c r="C231" s="94" t="s">
        <v>83</v>
      </c>
      <c r="D231" s="93">
        <v>15.0</v>
      </c>
      <c r="E231" s="93" t="s">
        <v>153</v>
      </c>
      <c r="F231" s="93"/>
      <c r="G231" s="93" t="s">
        <v>86</v>
      </c>
      <c r="H231" s="93"/>
      <c r="I231" s="93"/>
      <c r="J231" s="93" t="s">
        <v>927</v>
      </c>
      <c r="K231" s="93" t="s">
        <v>928</v>
      </c>
      <c r="L231" s="93" t="s">
        <v>910</v>
      </c>
      <c r="M231" s="93">
        <v>1.7504443E7</v>
      </c>
      <c r="N231" s="93"/>
      <c r="O231" s="93" t="s">
        <v>678</v>
      </c>
      <c r="P231" s="93">
        <v>12.0</v>
      </c>
      <c r="Q231" s="93">
        <v>12.0</v>
      </c>
      <c r="R231" s="93"/>
      <c r="S231" s="93"/>
      <c r="T231" s="93"/>
      <c r="U231" s="93"/>
      <c r="V231" s="93">
        <v>1.0</v>
      </c>
      <c r="W231" s="93">
        <v>1.0</v>
      </c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 t="str">
        <f t="shared" si="75"/>
        <v>#REF!</v>
      </c>
      <c r="AQ231" s="95">
        <v>45012.0</v>
      </c>
      <c r="AR231" s="95">
        <v>45012.0</v>
      </c>
      <c r="AS231" s="95">
        <f t="shared" ref="AS231:AS244" si="83">DATE(YEAR(AQ231),MONTH(AQ231)+P231,DAY(AQ231))</f>
        <v>45378</v>
      </c>
      <c r="AT231" s="93" t="s">
        <v>929</v>
      </c>
      <c r="AU231" s="93" t="s">
        <v>98</v>
      </c>
      <c r="AV231" s="93" t="s">
        <v>98</v>
      </c>
      <c r="AW231" s="93" t="s">
        <v>98</v>
      </c>
      <c r="AX231" s="93" t="s">
        <v>99</v>
      </c>
      <c r="AY231" s="93" t="str">
        <f t="shared" si="77"/>
        <v>#REF!</v>
      </c>
      <c r="AZ231" s="95">
        <f t="shared" si="82"/>
        <v>46171</v>
      </c>
      <c r="BA231" s="95"/>
    </row>
    <row r="232" ht="30.75" customHeight="1">
      <c r="A232" s="93"/>
      <c r="B232" s="94" t="s">
        <v>82</v>
      </c>
      <c r="C232" s="94" t="s">
        <v>83</v>
      </c>
      <c r="D232" s="93">
        <v>14.0</v>
      </c>
      <c r="E232" s="93" t="s">
        <v>153</v>
      </c>
      <c r="F232" s="93"/>
      <c r="G232" s="93" t="s">
        <v>86</v>
      </c>
      <c r="H232" s="93"/>
      <c r="I232" s="93"/>
      <c r="J232" s="93" t="s">
        <v>927</v>
      </c>
      <c r="K232" s="93" t="s">
        <v>928</v>
      </c>
      <c r="L232" s="93" t="s">
        <v>910</v>
      </c>
      <c r="M232" s="93">
        <v>3.8185658E7</v>
      </c>
      <c r="N232" s="93"/>
      <c r="O232" s="93" t="s">
        <v>678</v>
      </c>
      <c r="P232" s="93">
        <v>12.0</v>
      </c>
      <c r="Q232" s="93">
        <v>12.0</v>
      </c>
      <c r="R232" s="93"/>
      <c r="S232" s="93"/>
      <c r="T232" s="93"/>
      <c r="U232" s="93"/>
      <c r="V232" s="93">
        <v>1.0</v>
      </c>
      <c r="W232" s="93">
        <v>1.0</v>
      </c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 t="str">
        <f t="shared" si="75"/>
        <v>#REF!</v>
      </c>
      <c r="AQ232" s="95">
        <v>45012.0</v>
      </c>
      <c r="AR232" s="95">
        <v>45012.0</v>
      </c>
      <c r="AS232" s="95">
        <f t="shared" si="83"/>
        <v>45378</v>
      </c>
      <c r="AT232" s="93" t="s">
        <v>930</v>
      </c>
      <c r="AU232" s="93" t="s">
        <v>98</v>
      </c>
      <c r="AV232" s="93" t="s">
        <v>98</v>
      </c>
      <c r="AW232" s="93" t="s">
        <v>98</v>
      </c>
      <c r="AX232" s="93" t="s">
        <v>99</v>
      </c>
      <c r="AY232" s="93" t="str">
        <f t="shared" si="77"/>
        <v>#REF!</v>
      </c>
      <c r="AZ232" s="95">
        <f t="shared" si="82"/>
        <v>46171</v>
      </c>
      <c r="BA232" s="95"/>
    </row>
    <row r="233" ht="30.75" customHeight="1">
      <c r="A233" s="93"/>
      <c r="B233" s="94" t="s">
        <v>82</v>
      </c>
      <c r="C233" s="110" t="s">
        <v>83</v>
      </c>
      <c r="D233" s="93">
        <v>40.0</v>
      </c>
      <c r="E233" s="111" t="s">
        <v>108</v>
      </c>
      <c r="F233" s="93" t="s">
        <v>98</v>
      </c>
      <c r="G233" s="93" t="s">
        <v>86</v>
      </c>
      <c r="H233" s="93" t="s">
        <v>931</v>
      </c>
      <c r="I233" s="93" t="s">
        <v>88</v>
      </c>
      <c r="J233" s="93" t="s">
        <v>932</v>
      </c>
      <c r="K233" s="93" t="s">
        <v>902</v>
      </c>
      <c r="L233" s="93" t="s">
        <v>933</v>
      </c>
      <c r="M233" s="93">
        <v>4022647.0</v>
      </c>
      <c r="N233" s="93" t="s">
        <v>920</v>
      </c>
      <c r="O233" s="93" t="s">
        <v>934</v>
      </c>
      <c r="P233" s="111">
        <v>12.0</v>
      </c>
      <c r="Q233" s="111">
        <v>1.0</v>
      </c>
      <c r="R233" s="111"/>
      <c r="S233" s="111"/>
      <c r="T233" s="111"/>
      <c r="U233" s="111"/>
      <c r="V233" s="104">
        <v>1.0</v>
      </c>
      <c r="W233" s="104">
        <v>1.0</v>
      </c>
      <c r="X233" s="104"/>
      <c r="Y233" s="104"/>
      <c r="Z233" s="104"/>
      <c r="AA233" s="104"/>
      <c r="AB233" s="104"/>
      <c r="AC233" s="104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93" t="str">
        <f t="shared" si="75"/>
        <v>#REF!</v>
      </c>
      <c r="AQ233" s="95">
        <v>45008.0</v>
      </c>
      <c r="AR233" s="95">
        <v>45008.0</v>
      </c>
      <c r="AS233" s="95">
        <f t="shared" si="83"/>
        <v>45374</v>
      </c>
      <c r="AT233" s="93" t="s">
        <v>935</v>
      </c>
      <c r="AU233" s="93" t="s">
        <v>936</v>
      </c>
      <c r="AV233" s="93" t="s">
        <v>937</v>
      </c>
      <c r="AW233" s="93" t="s">
        <v>938</v>
      </c>
      <c r="AX233" s="95" t="s">
        <v>99</v>
      </c>
      <c r="AY233" s="93" t="str">
        <f t="shared" si="77"/>
        <v>#REF!</v>
      </c>
      <c r="AZ233" s="95">
        <f t="shared" si="82"/>
        <v>46171</v>
      </c>
      <c r="BA233" s="95"/>
    </row>
    <row r="234" ht="30.75" customHeight="1">
      <c r="A234" s="93"/>
      <c r="B234" s="94" t="s">
        <v>82</v>
      </c>
      <c r="C234" s="110" t="s">
        <v>83</v>
      </c>
      <c r="D234" s="93">
        <v>39.0</v>
      </c>
      <c r="E234" s="111" t="s">
        <v>108</v>
      </c>
      <c r="F234" s="93" t="s">
        <v>98</v>
      </c>
      <c r="G234" s="93" t="s">
        <v>86</v>
      </c>
      <c r="H234" s="93" t="s">
        <v>939</v>
      </c>
      <c r="I234" s="93" t="s">
        <v>88</v>
      </c>
      <c r="J234" s="93" t="s">
        <v>940</v>
      </c>
      <c r="K234" s="93" t="s">
        <v>902</v>
      </c>
      <c r="L234" s="93" t="s">
        <v>910</v>
      </c>
      <c r="M234" s="93" t="s">
        <v>941</v>
      </c>
      <c r="N234" s="93" t="s">
        <v>920</v>
      </c>
      <c r="O234" s="93" t="s">
        <v>942</v>
      </c>
      <c r="P234" s="111">
        <v>12.0</v>
      </c>
      <c r="Q234" s="111">
        <v>1.0</v>
      </c>
      <c r="R234" s="93"/>
      <c r="S234" s="93"/>
      <c r="T234" s="93"/>
      <c r="U234" s="93"/>
      <c r="V234" s="93">
        <v>1.0</v>
      </c>
      <c r="W234" s="93">
        <v>1.0</v>
      </c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 t="str">
        <f t="shared" si="75"/>
        <v>#REF!</v>
      </c>
      <c r="AQ234" s="95">
        <v>45008.0</v>
      </c>
      <c r="AR234" s="95">
        <v>45008.0</v>
      </c>
      <c r="AS234" s="95">
        <f t="shared" si="83"/>
        <v>45374</v>
      </c>
      <c r="AT234" s="93" t="s">
        <v>943</v>
      </c>
      <c r="AU234" s="93" t="s">
        <v>944</v>
      </c>
      <c r="AV234" s="93" t="s">
        <v>945</v>
      </c>
      <c r="AW234" s="93" t="s">
        <v>946</v>
      </c>
      <c r="AX234" s="95" t="s">
        <v>99</v>
      </c>
      <c r="AY234" s="93" t="str">
        <f t="shared" si="77"/>
        <v>#REF!</v>
      </c>
      <c r="AZ234" s="95">
        <f t="shared" si="82"/>
        <v>46171</v>
      </c>
      <c r="BA234" s="95"/>
    </row>
    <row r="235" ht="30.75" customHeight="1">
      <c r="A235" s="93"/>
      <c r="B235" s="94" t="s">
        <v>82</v>
      </c>
      <c r="C235" s="110" t="s">
        <v>83</v>
      </c>
      <c r="D235" s="93">
        <v>38.0</v>
      </c>
      <c r="E235" s="111" t="s">
        <v>108</v>
      </c>
      <c r="F235" s="93" t="s">
        <v>98</v>
      </c>
      <c r="G235" s="93" t="s">
        <v>86</v>
      </c>
      <c r="H235" s="93" t="s">
        <v>947</v>
      </c>
      <c r="I235" s="93" t="s">
        <v>88</v>
      </c>
      <c r="J235" s="93" t="s">
        <v>948</v>
      </c>
      <c r="K235" s="93" t="s">
        <v>902</v>
      </c>
      <c r="L235" s="93" t="s">
        <v>903</v>
      </c>
      <c r="M235" s="93">
        <v>1.3508104E7</v>
      </c>
      <c r="N235" s="93" t="s">
        <v>920</v>
      </c>
      <c r="O235" s="93" t="s">
        <v>934</v>
      </c>
      <c r="P235" s="111">
        <v>12.0</v>
      </c>
      <c r="Q235" s="111" t="s">
        <v>98</v>
      </c>
      <c r="R235" s="93" t="s">
        <v>98</v>
      </c>
      <c r="S235" s="93" t="s">
        <v>98</v>
      </c>
      <c r="T235" s="93" t="s">
        <v>98</v>
      </c>
      <c r="U235" s="93" t="s">
        <v>98</v>
      </c>
      <c r="V235" s="93" t="s">
        <v>98</v>
      </c>
      <c r="W235" s="93" t="s">
        <v>98</v>
      </c>
      <c r="X235" s="93" t="s">
        <v>98</v>
      </c>
      <c r="Y235" s="93" t="s">
        <v>98</v>
      </c>
      <c r="Z235" s="93" t="s">
        <v>98</v>
      </c>
      <c r="AA235" s="93" t="s">
        <v>98</v>
      </c>
      <c r="AB235" s="93" t="s">
        <v>98</v>
      </c>
      <c r="AC235" s="93" t="s">
        <v>98</v>
      </c>
      <c r="AD235" s="93" t="s">
        <v>98</v>
      </c>
      <c r="AE235" s="93" t="s">
        <v>98</v>
      </c>
      <c r="AF235" s="93" t="s">
        <v>98</v>
      </c>
      <c r="AG235" s="93" t="s">
        <v>98</v>
      </c>
      <c r="AH235" s="93" t="s">
        <v>98</v>
      </c>
      <c r="AI235" s="93" t="s">
        <v>98</v>
      </c>
      <c r="AJ235" s="93" t="s">
        <v>98</v>
      </c>
      <c r="AK235" s="93" t="s">
        <v>98</v>
      </c>
      <c r="AL235" s="93" t="s">
        <v>98</v>
      </c>
      <c r="AM235" s="93" t="s">
        <v>98</v>
      </c>
      <c r="AN235" s="93" t="s">
        <v>98</v>
      </c>
      <c r="AO235" s="93" t="s">
        <v>98</v>
      </c>
      <c r="AP235" s="93" t="str">
        <f t="shared" si="75"/>
        <v>#REF!</v>
      </c>
      <c r="AQ235" s="93" t="s">
        <v>98</v>
      </c>
      <c r="AR235" s="93" t="s">
        <v>98</v>
      </c>
      <c r="AS235" s="95" t="str">
        <f t="shared" si="83"/>
        <v>#VALUE!</v>
      </c>
      <c r="AT235" s="93" t="s">
        <v>98</v>
      </c>
      <c r="AU235" s="93" t="s">
        <v>98</v>
      </c>
      <c r="AV235" s="93" t="s">
        <v>98</v>
      </c>
      <c r="AW235" s="93" t="s">
        <v>98</v>
      </c>
      <c r="AX235" s="93" t="s">
        <v>113</v>
      </c>
      <c r="AY235" s="93" t="str">
        <f t="shared" si="77"/>
        <v>#REF!</v>
      </c>
      <c r="AZ235" s="95">
        <f t="shared" si="82"/>
        <v>46171</v>
      </c>
      <c r="BA235" s="95"/>
    </row>
    <row r="236" ht="30.75" customHeight="1">
      <c r="A236" s="93"/>
      <c r="B236" s="94" t="s">
        <v>82</v>
      </c>
      <c r="C236" s="94" t="s">
        <v>83</v>
      </c>
      <c r="D236" s="93">
        <v>18.0</v>
      </c>
      <c r="E236" s="93" t="s">
        <v>153</v>
      </c>
      <c r="F236" s="93" t="s">
        <v>98</v>
      </c>
      <c r="G236" s="93" t="s">
        <v>86</v>
      </c>
      <c r="H236" s="93" t="s">
        <v>949</v>
      </c>
      <c r="I236" s="93" t="s">
        <v>88</v>
      </c>
      <c r="J236" s="93" t="s">
        <v>950</v>
      </c>
      <c r="K236" s="93" t="s">
        <v>902</v>
      </c>
      <c r="L236" s="93" t="s">
        <v>933</v>
      </c>
      <c r="M236" s="93">
        <v>1.0158695E7</v>
      </c>
      <c r="N236" s="93" t="s">
        <v>904</v>
      </c>
      <c r="O236" s="93" t="s">
        <v>652</v>
      </c>
      <c r="P236" s="93">
        <v>12.0</v>
      </c>
      <c r="Q236" s="93">
        <v>12.0</v>
      </c>
      <c r="R236" s="93"/>
      <c r="S236" s="93"/>
      <c r="T236" s="93"/>
      <c r="U236" s="93"/>
      <c r="V236" s="93">
        <v>1.0</v>
      </c>
      <c r="W236" s="93">
        <v>1.0</v>
      </c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 t="str">
        <f t="shared" si="75"/>
        <v>#REF!</v>
      </c>
      <c r="AQ236" s="95">
        <v>45012.0</v>
      </c>
      <c r="AR236" s="95">
        <v>45012.0</v>
      </c>
      <c r="AS236" s="95">
        <f t="shared" si="83"/>
        <v>45378</v>
      </c>
      <c r="AT236" s="93" t="s">
        <v>951</v>
      </c>
      <c r="AU236" s="93" t="s">
        <v>98</v>
      </c>
      <c r="AV236" s="93" t="s">
        <v>98</v>
      </c>
      <c r="AW236" s="93" t="s">
        <v>98</v>
      </c>
      <c r="AX236" s="93" t="s">
        <v>99</v>
      </c>
      <c r="AY236" s="93" t="str">
        <f t="shared" si="77"/>
        <v>#REF!</v>
      </c>
      <c r="AZ236" s="95">
        <f t="shared" si="82"/>
        <v>46171</v>
      </c>
      <c r="BA236" s="95"/>
    </row>
    <row r="237" ht="30.75" customHeight="1">
      <c r="A237" s="93"/>
      <c r="B237" s="94" t="s">
        <v>82</v>
      </c>
      <c r="C237" s="94" t="s">
        <v>83</v>
      </c>
      <c r="D237" s="93">
        <v>17.0</v>
      </c>
      <c r="E237" s="93" t="s">
        <v>153</v>
      </c>
      <c r="F237" s="93" t="s">
        <v>98</v>
      </c>
      <c r="G237" s="93" t="s">
        <v>86</v>
      </c>
      <c r="H237" s="93" t="s">
        <v>952</v>
      </c>
      <c r="I237" s="93" t="s">
        <v>88</v>
      </c>
      <c r="J237" s="93" t="s">
        <v>953</v>
      </c>
      <c r="K237" s="93" t="s">
        <v>902</v>
      </c>
      <c r="L237" s="93" t="s">
        <v>933</v>
      </c>
      <c r="M237" s="93">
        <v>6112825.0</v>
      </c>
      <c r="N237" s="93" t="s">
        <v>904</v>
      </c>
      <c r="O237" s="93" t="s">
        <v>652</v>
      </c>
      <c r="P237" s="93">
        <v>12.0</v>
      </c>
      <c r="Q237" s="93">
        <v>12.0</v>
      </c>
      <c r="R237" s="93"/>
      <c r="S237" s="93"/>
      <c r="T237" s="93"/>
      <c r="U237" s="93"/>
      <c r="V237" s="93">
        <v>1.0</v>
      </c>
      <c r="W237" s="93">
        <v>1.0</v>
      </c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 t="str">
        <f t="shared" si="75"/>
        <v>#REF!</v>
      </c>
      <c r="AQ237" s="95">
        <v>45008.0</v>
      </c>
      <c r="AR237" s="95">
        <v>45008.0</v>
      </c>
      <c r="AS237" s="95">
        <f t="shared" si="83"/>
        <v>45374</v>
      </c>
      <c r="AT237" s="93" t="s">
        <v>954</v>
      </c>
      <c r="AU237" s="93" t="s">
        <v>98</v>
      </c>
      <c r="AV237" s="93" t="s">
        <v>98</v>
      </c>
      <c r="AW237" s="93" t="s">
        <v>98</v>
      </c>
      <c r="AX237" s="93" t="s">
        <v>99</v>
      </c>
      <c r="AY237" s="93" t="str">
        <f t="shared" si="77"/>
        <v>#REF!</v>
      </c>
      <c r="AZ237" s="95">
        <f t="shared" si="82"/>
        <v>46171</v>
      </c>
      <c r="BA237" s="95"/>
    </row>
    <row r="238" ht="30.75" customHeight="1">
      <c r="A238" s="93"/>
      <c r="B238" s="94" t="s">
        <v>82</v>
      </c>
      <c r="C238" s="94" t="s">
        <v>83</v>
      </c>
      <c r="D238" s="93">
        <v>9.0</v>
      </c>
      <c r="E238" s="93" t="s">
        <v>336</v>
      </c>
      <c r="F238" s="93" t="s">
        <v>98</v>
      </c>
      <c r="G238" s="93" t="s">
        <v>86</v>
      </c>
      <c r="H238" s="93" t="s">
        <v>955</v>
      </c>
      <c r="I238" s="93" t="s">
        <v>88</v>
      </c>
      <c r="J238" s="93" t="s">
        <v>956</v>
      </c>
      <c r="K238" s="93" t="s">
        <v>902</v>
      </c>
      <c r="L238" s="93" t="s">
        <v>933</v>
      </c>
      <c r="M238" s="93">
        <v>1.0185079E7</v>
      </c>
      <c r="N238" s="93" t="s">
        <v>920</v>
      </c>
      <c r="O238" s="93" t="s">
        <v>652</v>
      </c>
      <c r="P238" s="93">
        <v>12.0</v>
      </c>
      <c r="Q238" s="93">
        <v>1.0</v>
      </c>
      <c r="R238" s="93"/>
      <c r="S238" s="93"/>
      <c r="T238" s="93"/>
      <c r="U238" s="93"/>
      <c r="V238" s="93">
        <v>1.0</v>
      </c>
      <c r="W238" s="93">
        <v>1.0</v>
      </c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 t="str">
        <f t="shared" si="75"/>
        <v>#REF!</v>
      </c>
      <c r="AQ238" s="95">
        <v>45008.0</v>
      </c>
      <c r="AR238" s="95">
        <v>45008.0</v>
      </c>
      <c r="AS238" s="95">
        <f t="shared" si="83"/>
        <v>45374</v>
      </c>
      <c r="AT238" s="93" t="s">
        <v>957</v>
      </c>
      <c r="AU238" s="93" t="s">
        <v>958</v>
      </c>
      <c r="AV238" s="93" t="s">
        <v>959</v>
      </c>
      <c r="AW238" s="93" t="s">
        <v>960</v>
      </c>
      <c r="AX238" s="95" t="s">
        <v>99</v>
      </c>
      <c r="AY238" s="93" t="str">
        <f t="shared" si="77"/>
        <v>#REF!</v>
      </c>
      <c r="AZ238" s="95">
        <f t="shared" si="82"/>
        <v>46171</v>
      </c>
      <c r="BA238" s="95"/>
    </row>
    <row r="239" ht="30.75" customHeight="1">
      <c r="A239" s="93"/>
      <c r="B239" s="94" t="s">
        <v>82</v>
      </c>
      <c r="C239" s="110" t="s">
        <v>83</v>
      </c>
      <c r="D239" s="93">
        <v>41.0</v>
      </c>
      <c r="E239" s="111" t="s">
        <v>108</v>
      </c>
      <c r="F239" s="93" t="s">
        <v>98</v>
      </c>
      <c r="G239" s="93" t="s">
        <v>86</v>
      </c>
      <c r="H239" s="93" t="s">
        <v>961</v>
      </c>
      <c r="I239" s="93" t="s">
        <v>88</v>
      </c>
      <c r="J239" s="93" t="s">
        <v>962</v>
      </c>
      <c r="K239" s="93" t="s">
        <v>411</v>
      </c>
      <c r="L239" s="93" t="s">
        <v>411</v>
      </c>
      <c r="M239" s="93" t="s">
        <v>963</v>
      </c>
      <c r="N239" s="93" t="s">
        <v>964</v>
      </c>
      <c r="O239" s="93" t="s">
        <v>942</v>
      </c>
      <c r="P239" s="111">
        <v>12.0</v>
      </c>
      <c r="Q239" s="111" t="s">
        <v>98</v>
      </c>
      <c r="R239" s="93">
        <v>1.0</v>
      </c>
      <c r="S239" s="93" t="s">
        <v>98</v>
      </c>
      <c r="T239" s="93">
        <v>1.0</v>
      </c>
      <c r="U239" s="93" t="s">
        <v>98</v>
      </c>
      <c r="V239" s="93">
        <v>1.0</v>
      </c>
      <c r="W239" s="93" t="s">
        <v>98</v>
      </c>
      <c r="X239" s="93">
        <v>1.0</v>
      </c>
      <c r="Y239" s="93" t="s">
        <v>98</v>
      </c>
      <c r="Z239" s="93">
        <v>1.0</v>
      </c>
      <c r="AA239" s="93" t="s">
        <v>98</v>
      </c>
      <c r="AB239" s="93">
        <v>1.0</v>
      </c>
      <c r="AC239" s="93" t="s">
        <v>98</v>
      </c>
      <c r="AD239" s="93">
        <v>1.0</v>
      </c>
      <c r="AE239" s="93" t="s">
        <v>98</v>
      </c>
      <c r="AF239" s="93">
        <v>1.0</v>
      </c>
      <c r="AG239" s="93" t="s">
        <v>98</v>
      </c>
      <c r="AH239" s="93">
        <v>1.0</v>
      </c>
      <c r="AI239" s="93" t="s">
        <v>98</v>
      </c>
      <c r="AJ239" s="93">
        <v>1.0</v>
      </c>
      <c r="AK239" s="93" t="s">
        <v>98</v>
      </c>
      <c r="AL239" s="93">
        <v>1.0</v>
      </c>
      <c r="AM239" s="93" t="s">
        <v>98</v>
      </c>
      <c r="AN239" s="93">
        <v>1.0</v>
      </c>
      <c r="AO239" s="93" t="s">
        <v>98</v>
      </c>
      <c r="AP239" s="93" t="str">
        <f t="shared" si="75"/>
        <v>#REF!</v>
      </c>
      <c r="AQ239" s="93" t="s">
        <v>98</v>
      </c>
      <c r="AR239" s="95">
        <v>44060.0</v>
      </c>
      <c r="AS239" s="95" t="str">
        <f t="shared" si="83"/>
        <v>#VALUE!</v>
      </c>
      <c r="AT239" s="93" t="s">
        <v>965</v>
      </c>
      <c r="AU239" s="93" t="s">
        <v>98</v>
      </c>
      <c r="AV239" s="93" t="s">
        <v>98</v>
      </c>
      <c r="AW239" s="93" t="s">
        <v>98</v>
      </c>
      <c r="AX239" s="95" t="s">
        <v>99</v>
      </c>
      <c r="AY239" s="93" t="str">
        <f t="shared" si="77"/>
        <v>#REF!</v>
      </c>
      <c r="AZ239" s="95">
        <f t="shared" si="82"/>
        <v>46171</v>
      </c>
      <c r="BA239" s="95"/>
    </row>
    <row r="240" ht="30.75" customHeight="1">
      <c r="A240" s="93"/>
      <c r="B240" s="94" t="s">
        <v>82</v>
      </c>
      <c r="C240" s="110" t="s">
        <v>83</v>
      </c>
      <c r="D240" s="93">
        <v>42.0</v>
      </c>
      <c r="E240" s="111" t="s">
        <v>108</v>
      </c>
      <c r="F240" s="93" t="s">
        <v>98</v>
      </c>
      <c r="G240" s="93" t="s">
        <v>86</v>
      </c>
      <c r="H240" s="93" t="s">
        <v>961</v>
      </c>
      <c r="I240" s="93" t="s">
        <v>88</v>
      </c>
      <c r="J240" s="93" t="s">
        <v>962</v>
      </c>
      <c r="K240" s="93" t="s">
        <v>411</v>
      </c>
      <c r="L240" s="93" t="s">
        <v>411</v>
      </c>
      <c r="M240" s="93" t="s">
        <v>963</v>
      </c>
      <c r="N240" s="93" t="s">
        <v>964</v>
      </c>
      <c r="O240" s="93" t="s">
        <v>942</v>
      </c>
      <c r="P240" s="111">
        <v>12.0</v>
      </c>
      <c r="Q240" s="111" t="s">
        <v>98</v>
      </c>
      <c r="R240" s="93">
        <v>1.0</v>
      </c>
      <c r="S240" s="93" t="s">
        <v>98</v>
      </c>
      <c r="T240" s="93">
        <v>1.0</v>
      </c>
      <c r="U240" s="93" t="s">
        <v>98</v>
      </c>
      <c r="V240" s="93">
        <v>1.0</v>
      </c>
      <c r="W240" s="93" t="s">
        <v>98</v>
      </c>
      <c r="X240" s="93">
        <v>1.0</v>
      </c>
      <c r="Y240" s="93" t="s">
        <v>98</v>
      </c>
      <c r="Z240" s="93">
        <v>1.0</v>
      </c>
      <c r="AA240" s="93" t="s">
        <v>98</v>
      </c>
      <c r="AB240" s="93">
        <v>1.0</v>
      </c>
      <c r="AC240" s="93" t="s">
        <v>98</v>
      </c>
      <c r="AD240" s="93">
        <v>1.0</v>
      </c>
      <c r="AE240" s="93" t="s">
        <v>98</v>
      </c>
      <c r="AF240" s="93">
        <v>1.0</v>
      </c>
      <c r="AG240" s="93" t="s">
        <v>98</v>
      </c>
      <c r="AH240" s="93">
        <v>1.0</v>
      </c>
      <c r="AI240" s="93" t="s">
        <v>98</v>
      </c>
      <c r="AJ240" s="93">
        <v>1.0</v>
      </c>
      <c r="AK240" s="93" t="s">
        <v>98</v>
      </c>
      <c r="AL240" s="93">
        <v>1.0</v>
      </c>
      <c r="AM240" s="93" t="s">
        <v>98</v>
      </c>
      <c r="AN240" s="93">
        <v>1.0</v>
      </c>
      <c r="AO240" s="93" t="s">
        <v>98</v>
      </c>
      <c r="AP240" s="93" t="str">
        <f t="shared" si="75"/>
        <v>#REF!</v>
      </c>
      <c r="AQ240" s="93" t="s">
        <v>98</v>
      </c>
      <c r="AR240" s="95">
        <v>44060.0</v>
      </c>
      <c r="AS240" s="95" t="str">
        <f t="shared" si="83"/>
        <v>#VALUE!</v>
      </c>
      <c r="AT240" s="93" t="s">
        <v>965</v>
      </c>
      <c r="AU240" s="93" t="s">
        <v>98</v>
      </c>
      <c r="AV240" s="93" t="s">
        <v>98</v>
      </c>
      <c r="AW240" s="93" t="s">
        <v>98</v>
      </c>
      <c r="AX240" s="95" t="s">
        <v>99</v>
      </c>
      <c r="AY240" s="93" t="str">
        <f t="shared" si="77"/>
        <v>#REF!</v>
      </c>
      <c r="AZ240" s="95">
        <f t="shared" si="82"/>
        <v>46171</v>
      </c>
      <c r="BA240" s="95"/>
    </row>
    <row r="241" ht="30.75" customHeight="1">
      <c r="A241" s="93"/>
      <c r="B241" s="94" t="s">
        <v>82</v>
      </c>
      <c r="C241" s="94" t="s">
        <v>83</v>
      </c>
      <c r="D241" s="93">
        <v>19.0</v>
      </c>
      <c r="E241" s="93" t="s">
        <v>153</v>
      </c>
      <c r="F241" s="93" t="s">
        <v>98</v>
      </c>
      <c r="G241" s="93" t="s">
        <v>86</v>
      </c>
      <c r="H241" s="93" t="s">
        <v>966</v>
      </c>
      <c r="I241" s="93" t="s">
        <v>88</v>
      </c>
      <c r="J241" s="93" t="s">
        <v>967</v>
      </c>
      <c r="K241" s="93" t="s">
        <v>902</v>
      </c>
      <c r="L241" s="93" t="s">
        <v>933</v>
      </c>
      <c r="M241" s="93" t="s">
        <v>968</v>
      </c>
      <c r="N241" s="93" t="s">
        <v>904</v>
      </c>
      <c r="O241" s="93" t="s">
        <v>652</v>
      </c>
      <c r="P241" s="93">
        <v>12.0</v>
      </c>
      <c r="Q241" s="93">
        <v>12.0</v>
      </c>
      <c r="R241" s="93"/>
      <c r="S241" s="93"/>
      <c r="T241" s="93"/>
      <c r="U241" s="93"/>
      <c r="V241" s="93">
        <v>1.0</v>
      </c>
      <c r="W241" s="93">
        <v>1.0</v>
      </c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 t="str">
        <f t="shared" si="75"/>
        <v>#REF!</v>
      </c>
      <c r="AQ241" s="95">
        <v>45012.0</v>
      </c>
      <c r="AR241" s="95">
        <v>45012.0</v>
      </c>
      <c r="AS241" s="95">
        <f t="shared" si="83"/>
        <v>45378</v>
      </c>
      <c r="AT241" s="93" t="s">
        <v>969</v>
      </c>
      <c r="AU241" s="93" t="s">
        <v>98</v>
      </c>
      <c r="AV241" s="93" t="s">
        <v>98</v>
      </c>
      <c r="AW241" s="93" t="s">
        <v>98</v>
      </c>
      <c r="AX241" s="93" t="s">
        <v>99</v>
      </c>
      <c r="AY241" s="93" t="str">
        <f t="shared" si="77"/>
        <v>#REF!</v>
      </c>
      <c r="AZ241" s="95">
        <f t="shared" si="82"/>
        <v>46171</v>
      </c>
      <c r="BA241" s="95"/>
    </row>
    <row r="242" ht="30.75" customHeight="1">
      <c r="A242" s="114"/>
      <c r="B242" s="115" t="s">
        <v>82</v>
      </c>
      <c r="C242" s="116" t="s">
        <v>83</v>
      </c>
      <c r="D242" s="114"/>
      <c r="E242" s="117" t="s">
        <v>108</v>
      </c>
      <c r="F242" s="114"/>
      <c r="G242" s="114" t="s">
        <v>86</v>
      </c>
      <c r="H242" s="114" t="s">
        <v>98</v>
      </c>
      <c r="I242" s="114"/>
      <c r="J242" s="114" t="s">
        <v>970</v>
      </c>
      <c r="K242" s="114" t="s">
        <v>430</v>
      </c>
      <c r="L242" s="114" t="s">
        <v>971</v>
      </c>
      <c r="M242" s="114" t="s">
        <v>972</v>
      </c>
      <c r="N242" s="114"/>
      <c r="O242" s="114"/>
      <c r="P242" s="117">
        <v>12.0</v>
      </c>
      <c r="Q242" s="117">
        <v>1.0</v>
      </c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>
        <v>1.0</v>
      </c>
      <c r="AC242" s="114">
        <v>1.0</v>
      </c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8" t="s">
        <v>95</v>
      </c>
      <c r="AR242" s="118" t="s">
        <v>95</v>
      </c>
      <c r="AS242" s="118" t="str">
        <f t="shared" si="83"/>
        <v>#VALUE!</v>
      </c>
      <c r="AT242" s="114" t="s">
        <v>973</v>
      </c>
      <c r="AU242" s="114"/>
      <c r="AV242" s="114"/>
      <c r="AW242" s="114"/>
      <c r="AX242" s="118"/>
      <c r="AY242" s="114"/>
      <c r="AZ242" s="118">
        <f t="shared" si="82"/>
        <v>46171</v>
      </c>
      <c r="BA242" s="118"/>
    </row>
    <row r="243" ht="30.75" customHeight="1">
      <c r="A243" s="93"/>
      <c r="B243" s="94" t="s">
        <v>82</v>
      </c>
      <c r="C243" s="110" t="s">
        <v>83</v>
      </c>
      <c r="D243" s="93">
        <v>43.0</v>
      </c>
      <c r="E243" s="111" t="s">
        <v>108</v>
      </c>
      <c r="F243" s="93" t="s">
        <v>98</v>
      </c>
      <c r="G243" s="93" t="s">
        <v>86</v>
      </c>
      <c r="H243" s="93" t="s">
        <v>974</v>
      </c>
      <c r="I243" s="93" t="s">
        <v>88</v>
      </c>
      <c r="J243" s="93" t="s">
        <v>975</v>
      </c>
      <c r="K243" s="93" t="s">
        <v>976</v>
      </c>
      <c r="L243" s="93" t="s">
        <v>977</v>
      </c>
      <c r="M243" s="93" t="s">
        <v>978</v>
      </c>
      <c r="N243" s="93" t="s">
        <v>98</v>
      </c>
      <c r="O243" s="93" t="s">
        <v>652</v>
      </c>
      <c r="P243" s="111">
        <v>12.0</v>
      </c>
      <c r="Q243" s="111" t="s">
        <v>98</v>
      </c>
      <c r="R243" s="93" t="s">
        <v>98</v>
      </c>
      <c r="S243" s="93" t="s">
        <v>98</v>
      </c>
      <c r="T243" s="93" t="s">
        <v>98</v>
      </c>
      <c r="U243" s="93" t="s">
        <v>98</v>
      </c>
      <c r="V243" s="93" t="s">
        <v>98</v>
      </c>
      <c r="W243" s="93" t="s">
        <v>98</v>
      </c>
      <c r="X243" s="93" t="s">
        <v>98</v>
      </c>
      <c r="Y243" s="93" t="s">
        <v>98</v>
      </c>
      <c r="Z243" s="93" t="s">
        <v>98</v>
      </c>
      <c r="AA243" s="93" t="s">
        <v>98</v>
      </c>
      <c r="AB243" s="93" t="s">
        <v>98</v>
      </c>
      <c r="AC243" s="93" t="s">
        <v>98</v>
      </c>
      <c r="AD243" s="93" t="s">
        <v>98</v>
      </c>
      <c r="AE243" s="93" t="s">
        <v>98</v>
      </c>
      <c r="AF243" s="93" t="s">
        <v>98</v>
      </c>
      <c r="AG243" s="93" t="s">
        <v>98</v>
      </c>
      <c r="AH243" s="93" t="s">
        <v>98</v>
      </c>
      <c r="AI243" s="93" t="s">
        <v>98</v>
      </c>
      <c r="AJ243" s="93" t="s">
        <v>98</v>
      </c>
      <c r="AK243" s="93" t="s">
        <v>98</v>
      </c>
      <c r="AL243" s="93" t="s">
        <v>98</v>
      </c>
      <c r="AM243" s="93" t="s">
        <v>98</v>
      </c>
      <c r="AN243" s="93" t="s">
        <v>98</v>
      </c>
      <c r="AO243" s="93" t="s">
        <v>98</v>
      </c>
      <c r="AP243" s="93" t="str">
        <f t="shared" ref="AP243:AP244" si="84">#REF!</f>
        <v>#REF!</v>
      </c>
      <c r="AQ243" s="93" t="s">
        <v>98</v>
      </c>
      <c r="AR243" s="93" t="s">
        <v>98</v>
      </c>
      <c r="AS243" s="95" t="str">
        <f t="shared" si="83"/>
        <v>#VALUE!</v>
      </c>
      <c r="AT243" s="93" t="s">
        <v>98</v>
      </c>
      <c r="AU243" s="93" t="s">
        <v>98</v>
      </c>
      <c r="AV243" s="93" t="s">
        <v>98</v>
      </c>
      <c r="AW243" s="93" t="s">
        <v>98</v>
      </c>
      <c r="AX243" s="93" t="s">
        <v>113</v>
      </c>
      <c r="AY243" s="93" t="str">
        <f t="shared" ref="AY243:AY244" si="85">#REF!</f>
        <v>#REF!</v>
      </c>
      <c r="AZ243" s="95">
        <f t="shared" si="82"/>
        <v>46171</v>
      </c>
      <c r="BA243" s="95"/>
    </row>
    <row r="244" ht="30.75" customHeight="1">
      <c r="A244" s="93"/>
      <c r="B244" s="94" t="s">
        <v>82</v>
      </c>
      <c r="C244" s="110" t="s">
        <v>83</v>
      </c>
      <c r="D244" s="93">
        <v>44.0</v>
      </c>
      <c r="E244" s="111" t="s">
        <v>108</v>
      </c>
      <c r="F244" s="93" t="s">
        <v>98</v>
      </c>
      <c r="G244" s="93" t="s">
        <v>86</v>
      </c>
      <c r="H244" s="93" t="s">
        <v>979</v>
      </c>
      <c r="I244" s="93" t="s">
        <v>88</v>
      </c>
      <c r="J244" s="93" t="s">
        <v>975</v>
      </c>
      <c r="K244" s="93" t="s">
        <v>976</v>
      </c>
      <c r="L244" s="93" t="s">
        <v>977</v>
      </c>
      <c r="M244" s="93" t="s">
        <v>980</v>
      </c>
      <c r="N244" s="93" t="s">
        <v>98</v>
      </c>
      <c r="O244" s="93" t="s">
        <v>652</v>
      </c>
      <c r="P244" s="111">
        <v>12.0</v>
      </c>
      <c r="Q244" s="111" t="s">
        <v>98</v>
      </c>
      <c r="R244" s="93" t="s">
        <v>98</v>
      </c>
      <c r="S244" s="93" t="s">
        <v>98</v>
      </c>
      <c r="T244" s="93" t="s">
        <v>98</v>
      </c>
      <c r="U244" s="93" t="s">
        <v>98</v>
      </c>
      <c r="V244" s="93" t="s">
        <v>98</v>
      </c>
      <c r="W244" s="93" t="s">
        <v>98</v>
      </c>
      <c r="X244" s="93" t="s">
        <v>98</v>
      </c>
      <c r="Y244" s="93" t="s">
        <v>98</v>
      </c>
      <c r="Z244" s="93" t="s">
        <v>98</v>
      </c>
      <c r="AA244" s="93" t="s">
        <v>98</v>
      </c>
      <c r="AB244" s="93" t="s">
        <v>98</v>
      </c>
      <c r="AC244" s="93" t="s">
        <v>98</v>
      </c>
      <c r="AD244" s="93" t="s">
        <v>98</v>
      </c>
      <c r="AE244" s="93" t="s">
        <v>98</v>
      </c>
      <c r="AF244" s="93" t="s">
        <v>98</v>
      </c>
      <c r="AG244" s="93" t="s">
        <v>98</v>
      </c>
      <c r="AH244" s="93" t="s">
        <v>98</v>
      </c>
      <c r="AI244" s="93" t="s">
        <v>98</v>
      </c>
      <c r="AJ244" s="93" t="s">
        <v>98</v>
      </c>
      <c r="AK244" s="93" t="s">
        <v>98</v>
      </c>
      <c r="AL244" s="93" t="s">
        <v>98</v>
      </c>
      <c r="AM244" s="93" t="s">
        <v>98</v>
      </c>
      <c r="AN244" s="93" t="s">
        <v>98</v>
      </c>
      <c r="AO244" s="93" t="s">
        <v>98</v>
      </c>
      <c r="AP244" s="93" t="str">
        <f t="shared" si="84"/>
        <v>#REF!</v>
      </c>
      <c r="AQ244" s="93" t="s">
        <v>98</v>
      </c>
      <c r="AR244" s="93" t="s">
        <v>98</v>
      </c>
      <c r="AS244" s="95" t="str">
        <f t="shared" si="83"/>
        <v>#VALUE!</v>
      </c>
      <c r="AT244" s="93" t="s">
        <v>98</v>
      </c>
      <c r="AU244" s="93" t="s">
        <v>98</v>
      </c>
      <c r="AV244" s="93" t="s">
        <v>98</v>
      </c>
      <c r="AW244" s="93" t="s">
        <v>98</v>
      </c>
      <c r="AX244" s="93" t="s">
        <v>113</v>
      </c>
      <c r="AY244" s="93" t="str">
        <f t="shared" si="85"/>
        <v>#REF!</v>
      </c>
      <c r="AZ244" s="95">
        <f t="shared" si="82"/>
        <v>46171</v>
      </c>
      <c r="BA244" s="95"/>
    </row>
    <row r="245" ht="30.75" customHeight="1">
      <c r="A245" s="93"/>
      <c r="B245" s="94" t="s">
        <v>82</v>
      </c>
      <c r="C245" s="94" t="s">
        <v>83</v>
      </c>
      <c r="D245" s="93">
        <v>6.0</v>
      </c>
      <c r="E245" s="93" t="s">
        <v>131</v>
      </c>
      <c r="F245" s="93" t="s">
        <v>981</v>
      </c>
      <c r="G245" s="93" t="s">
        <v>86</v>
      </c>
      <c r="H245" s="93" t="s">
        <v>98</v>
      </c>
      <c r="I245" s="93" t="s">
        <v>88</v>
      </c>
      <c r="J245" s="93" t="s">
        <v>982</v>
      </c>
      <c r="K245" s="93" t="s">
        <v>902</v>
      </c>
      <c r="L245" s="93" t="s">
        <v>933</v>
      </c>
      <c r="M245" s="93">
        <v>1.0176373E7</v>
      </c>
      <c r="N245" s="93" t="s">
        <v>920</v>
      </c>
      <c r="O245" s="93" t="s">
        <v>678</v>
      </c>
      <c r="P245" s="93">
        <v>12.0</v>
      </c>
      <c r="Q245" s="93" t="s">
        <v>98</v>
      </c>
      <c r="R245" s="93" t="s">
        <v>98</v>
      </c>
      <c r="S245" s="93" t="s">
        <v>98</v>
      </c>
      <c r="T245" s="93" t="s">
        <v>98</v>
      </c>
      <c r="U245" s="93" t="s">
        <v>98</v>
      </c>
      <c r="V245" s="93" t="s">
        <v>98</v>
      </c>
      <c r="W245" s="93" t="s">
        <v>98</v>
      </c>
      <c r="X245" s="93" t="s">
        <v>98</v>
      </c>
      <c r="Y245" s="93" t="s">
        <v>98</v>
      </c>
      <c r="Z245" s="93" t="s">
        <v>98</v>
      </c>
      <c r="AA245" s="93" t="s">
        <v>98</v>
      </c>
      <c r="AB245" s="93" t="s">
        <v>98</v>
      </c>
      <c r="AC245" s="93" t="s">
        <v>98</v>
      </c>
      <c r="AD245" s="93" t="s">
        <v>98</v>
      </c>
      <c r="AE245" s="93" t="s">
        <v>98</v>
      </c>
      <c r="AF245" s="93" t="s">
        <v>98</v>
      </c>
      <c r="AG245" s="93" t="s">
        <v>98</v>
      </c>
      <c r="AH245" s="93" t="s">
        <v>98</v>
      </c>
      <c r="AI245" s="93" t="s">
        <v>98</v>
      </c>
      <c r="AJ245" s="93" t="s">
        <v>98</v>
      </c>
      <c r="AK245" s="93" t="s">
        <v>98</v>
      </c>
      <c r="AL245" s="93" t="s">
        <v>98</v>
      </c>
      <c r="AM245" s="93" t="s">
        <v>98</v>
      </c>
      <c r="AN245" s="93" t="s">
        <v>98</v>
      </c>
      <c r="AO245" s="93" t="s">
        <v>98</v>
      </c>
      <c r="AP245" s="93" t="s">
        <v>983</v>
      </c>
      <c r="AQ245" s="93" t="s">
        <v>98</v>
      </c>
      <c r="AR245" s="93" t="s">
        <v>98</v>
      </c>
      <c r="AS245" s="93" t="e">
        <v>#VALUE!</v>
      </c>
      <c r="AT245" s="93" t="s">
        <v>98</v>
      </c>
      <c r="AU245" s="93" t="s">
        <v>98</v>
      </c>
      <c r="AV245" s="93" t="s">
        <v>98</v>
      </c>
      <c r="AW245" s="93" t="s">
        <v>98</v>
      </c>
      <c r="AX245" s="93" t="s">
        <v>113</v>
      </c>
      <c r="AY245" s="93" t="s">
        <v>983</v>
      </c>
      <c r="AZ245" s="95">
        <v>45370.0</v>
      </c>
      <c r="BA245" s="95"/>
    </row>
    <row r="246" ht="30.75" customHeight="1">
      <c r="A246" s="93" t="s">
        <v>81</v>
      </c>
      <c r="B246" s="94" t="s">
        <v>82</v>
      </c>
      <c r="C246" s="94" t="s">
        <v>83</v>
      </c>
      <c r="D246" s="93">
        <v>16.0</v>
      </c>
      <c r="E246" s="93" t="s">
        <v>116</v>
      </c>
      <c r="F246" s="93">
        <v>68223.0</v>
      </c>
      <c r="G246" s="93" t="s">
        <v>86</v>
      </c>
      <c r="H246" s="113" t="s">
        <v>984</v>
      </c>
      <c r="I246" s="93" t="s">
        <v>88</v>
      </c>
      <c r="J246" s="93" t="s">
        <v>985</v>
      </c>
      <c r="K246" s="93" t="s">
        <v>986</v>
      </c>
      <c r="L246" s="93" t="s">
        <v>987</v>
      </c>
      <c r="M246" s="102">
        <v>6.41940115E8</v>
      </c>
      <c r="N246" s="93"/>
      <c r="O246" s="93" t="s">
        <v>942</v>
      </c>
      <c r="P246" s="93">
        <v>12.0</v>
      </c>
      <c r="Q246" s="93">
        <v>1.0</v>
      </c>
      <c r="R246" s="93"/>
      <c r="S246" s="93"/>
      <c r="T246" s="93"/>
      <c r="U246" s="93"/>
      <c r="V246" s="93">
        <v>1.0</v>
      </c>
      <c r="W246" s="93">
        <v>1.0</v>
      </c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 t="str">
        <f t="shared" ref="AP246:AP248" si="86">#REF!</f>
        <v>#REF!</v>
      </c>
      <c r="AQ246" s="95">
        <v>45008.0</v>
      </c>
      <c r="AR246" s="95">
        <v>45008.0</v>
      </c>
      <c r="AS246" s="95">
        <f t="shared" ref="AS246:AS255" si="87">DATE(YEAR(AQ246),MONTH(AQ246)+P246,DAY(AQ246))</f>
        <v>45374</v>
      </c>
      <c r="AT246" s="93" t="s">
        <v>988</v>
      </c>
      <c r="AU246" s="93" t="s">
        <v>98</v>
      </c>
      <c r="AV246" s="93" t="s">
        <v>98</v>
      </c>
      <c r="AW246" s="93" t="s">
        <v>98</v>
      </c>
      <c r="AX246" s="95" t="s">
        <v>99</v>
      </c>
      <c r="AY246" s="93" t="str">
        <f t="shared" ref="AY246:AY248" si="88">#REF!</f>
        <v>#REF!</v>
      </c>
      <c r="AZ246" s="95"/>
      <c r="BA246" s="95"/>
    </row>
    <row r="247" ht="30.75" customHeight="1">
      <c r="A247" s="93"/>
      <c r="B247" s="94" t="s">
        <v>82</v>
      </c>
      <c r="C247" s="94" t="s">
        <v>83</v>
      </c>
      <c r="D247" s="94">
        <v>53.0</v>
      </c>
      <c r="E247" s="93" t="s">
        <v>84</v>
      </c>
      <c r="F247" s="93">
        <v>68222.0</v>
      </c>
      <c r="G247" s="93" t="s">
        <v>86</v>
      </c>
      <c r="H247" s="93" t="s">
        <v>989</v>
      </c>
      <c r="I247" s="93" t="s">
        <v>88</v>
      </c>
      <c r="J247" s="93" t="s">
        <v>985</v>
      </c>
      <c r="K247" s="93" t="s">
        <v>902</v>
      </c>
      <c r="L247" s="93" t="s">
        <v>933</v>
      </c>
      <c r="M247" s="93">
        <v>1.0176374E7</v>
      </c>
      <c r="N247" s="93" t="s">
        <v>920</v>
      </c>
      <c r="O247" s="93" t="s">
        <v>678</v>
      </c>
      <c r="P247" s="93">
        <v>12.0</v>
      </c>
      <c r="Q247" s="93">
        <v>1.0</v>
      </c>
      <c r="R247" s="93"/>
      <c r="S247" s="93"/>
      <c r="T247" s="93"/>
      <c r="U247" s="93"/>
      <c r="V247" s="93">
        <v>1.0</v>
      </c>
      <c r="W247" s="93">
        <v>1.0</v>
      </c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 t="str">
        <f t="shared" si="86"/>
        <v>#REF!</v>
      </c>
      <c r="AQ247" s="95">
        <v>45008.0</v>
      </c>
      <c r="AR247" s="95">
        <v>45008.0</v>
      </c>
      <c r="AS247" s="95">
        <f t="shared" si="87"/>
        <v>45374</v>
      </c>
      <c r="AT247" s="93" t="s">
        <v>957</v>
      </c>
      <c r="AU247" s="93" t="s">
        <v>958</v>
      </c>
      <c r="AV247" s="93" t="s">
        <v>959</v>
      </c>
      <c r="AW247" s="93" t="s">
        <v>960</v>
      </c>
      <c r="AX247" s="95" t="s">
        <v>99</v>
      </c>
      <c r="AY247" s="93" t="str">
        <f t="shared" si="88"/>
        <v>#REF!</v>
      </c>
      <c r="AZ247" s="95">
        <f t="shared" ref="AZ247:AZ255" si="89">TODAY()</f>
        <v>46171</v>
      </c>
      <c r="BA247" s="95"/>
    </row>
    <row r="248" ht="30.75" customHeight="1">
      <c r="A248" s="93"/>
      <c r="B248" s="94" t="s">
        <v>82</v>
      </c>
      <c r="C248" s="94" t="s">
        <v>83</v>
      </c>
      <c r="D248" s="93">
        <v>54.0</v>
      </c>
      <c r="E248" s="93" t="s">
        <v>84</v>
      </c>
      <c r="F248" s="93">
        <v>68211.0</v>
      </c>
      <c r="G248" s="93" t="s">
        <v>86</v>
      </c>
      <c r="H248" s="93" t="s">
        <v>990</v>
      </c>
      <c r="I248" s="93" t="s">
        <v>88</v>
      </c>
      <c r="J248" s="93" t="s">
        <v>985</v>
      </c>
      <c r="K248" s="93" t="s">
        <v>902</v>
      </c>
      <c r="L248" s="93" t="s">
        <v>933</v>
      </c>
      <c r="M248" s="93">
        <v>1.0176828E7</v>
      </c>
      <c r="N248" s="93" t="s">
        <v>920</v>
      </c>
      <c r="O248" s="93" t="s">
        <v>678</v>
      </c>
      <c r="P248" s="93">
        <v>12.0</v>
      </c>
      <c r="Q248" s="93">
        <v>1.0</v>
      </c>
      <c r="R248" s="93"/>
      <c r="S248" s="93"/>
      <c r="T248" s="93"/>
      <c r="U248" s="93"/>
      <c r="V248" s="93">
        <v>1.0</v>
      </c>
      <c r="W248" s="93">
        <v>1.0</v>
      </c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 t="str">
        <f t="shared" si="86"/>
        <v>#REF!</v>
      </c>
      <c r="AQ248" s="95">
        <v>45008.0</v>
      </c>
      <c r="AR248" s="95">
        <v>45008.0</v>
      </c>
      <c r="AS248" s="95">
        <f t="shared" si="87"/>
        <v>45374</v>
      </c>
      <c r="AT248" s="93" t="s">
        <v>991</v>
      </c>
      <c r="AU248" s="93" t="s">
        <v>98</v>
      </c>
      <c r="AV248" s="93" t="s">
        <v>98</v>
      </c>
      <c r="AW248" s="93" t="s">
        <v>98</v>
      </c>
      <c r="AX248" s="95" t="s">
        <v>99</v>
      </c>
      <c r="AY248" s="93" t="str">
        <f t="shared" si="88"/>
        <v>#REF!</v>
      </c>
      <c r="AZ248" s="95">
        <f t="shared" si="89"/>
        <v>46171</v>
      </c>
      <c r="BA248" s="95"/>
    </row>
    <row r="249" ht="30.75" customHeight="1">
      <c r="A249" s="93"/>
      <c r="B249" s="94" t="s">
        <v>82</v>
      </c>
      <c r="C249" s="94" t="s">
        <v>83</v>
      </c>
      <c r="D249" s="93"/>
      <c r="E249" s="93" t="s">
        <v>84</v>
      </c>
      <c r="F249" s="93"/>
      <c r="G249" s="93" t="s">
        <v>86</v>
      </c>
      <c r="H249" s="93" t="s">
        <v>989</v>
      </c>
      <c r="I249" s="93"/>
      <c r="J249" s="93" t="s">
        <v>985</v>
      </c>
      <c r="K249" s="93" t="s">
        <v>902</v>
      </c>
      <c r="L249" s="93" t="s">
        <v>992</v>
      </c>
      <c r="M249" s="93">
        <v>1.0176374E7</v>
      </c>
      <c r="N249" s="93"/>
      <c r="O249" s="93"/>
      <c r="P249" s="93">
        <v>12.0</v>
      </c>
      <c r="Q249" s="93">
        <v>1.0</v>
      </c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>
        <v>1.0</v>
      </c>
      <c r="AC249" s="93">
        <v>1.0</v>
      </c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5" t="s">
        <v>95</v>
      </c>
      <c r="AR249" s="95" t="s">
        <v>95</v>
      </c>
      <c r="AS249" s="95" t="str">
        <f t="shared" si="87"/>
        <v>#VALUE!</v>
      </c>
      <c r="AT249" s="93" t="s">
        <v>993</v>
      </c>
      <c r="AU249" s="93"/>
      <c r="AV249" s="93"/>
      <c r="AW249" s="93"/>
      <c r="AX249" s="95"/>
      <c r="AY249" s="93"/>
      <c r="AZ249" s="95">
        <f t="shared" si="89"/>
        <v>46171</v>
      </c>
      <c r="BA249" s="95"/>
    </row>
    <row r="250" ht="30.75" customHeight="1">
      <c r="A250" s="93"/>
      <c r="B250" s="94" t="s">
        <v>82</v>
      </c>
      <c r="C250" s="94" t="s">
        <v>83</v>
      </c>
      <c r="D250" s="93"/>
      <c r="E250" s="93" t="s">
        <v>84</v>
      </c>
      <c r="F250" s="93"/>
      <c r="G250" s="93" t="s">
        <v>86</v>
      </c>
      <c r="H250" s="93" t="s">
        <v>990</v>
      </c>
      <c r="I250" s="93"/>
      <c r="J250" s="93" t="s">
        <v>985</v>
      </c>
      <c r="K250" s="93" t="s">
        <v>902</v>
      </c>
      <c r="L250" s="93" t="s">
        <v>992</v>
      </c>
      <c r="M250" s="93">
        <v>1.0176828E7</v>
      </c>
      <c r="N250" s="93"/>
      <c r="O250" s="93"/>
      <c r="P250" s="93">
        <v>12.0</v>
      </c>
      <c r="Q250" s="93">
        <v>1.0</v>
      </c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>
        <v>1.0</v>
      </c>
      <c r="AC250" s="93">
        <v>1.0</v>
      </c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5" t="s">
        <v>95</v>
      </c>
      <c r="AR250" s="95" t="s">
        <v>95</v>
      </c>
      <c r="AS250" s="95" t="str">
        <f t="shared" si="87"/>
        <v>#VALUE!</v>
      </c>
      <c r="AT250" s="93" t="s">
        <v>994</v>
      </c>
      <c r="AU250" s="93"/>
      <c r="AV250" s="93"/>
      <c r="AW250" s="93"/>
      <c r="AX250" s="95"/>
      <c r="AY250" s="93"/>
      <c r="AZ250" s="95">
        <f t="shared" si="89"/>
        <v>46171</v>
      </c>
      <c r="BA250" s="95"/>
    </row>
    <row r="251" ht="30.75" customHeight="1">
      <c r="A251" s="93"/>
      <c r="B251" s="94" t="s">
        <v>82</v>
      </c>
      <c r="C251" s="94" t="s">
        <v>83</v>
      </c>
      <c r="D251" s="93"/>
      <c r="E251" s="93" t="s">
        <v>84</v>
      </c>
      <c r="F251" s="93"/>
      <c r="G251" s="93" t="s">
        <v>86</v>
      </c>
      <c r="H251" s="93" t="s">
        <v>98</v>
      </c>
      <c r="I251" s="93"/>
      <c r="J251" s="93" t="s">
        <v>985</v>
      </c>
      <c r="K251" s="93" t="s">
        <v>433</v>
      </c>
      <c r="L251" s="93" t="s">
        <v>995</v>
      </c>
      <c r="M251" s="93" t="s">
        <v>996</v>
      </c>
      <c r="N251" s="93"/>
      <c r="O251" s="93"/>
      <c r="P251" s="93">
        <v>12.0</v>
      </c>
      <c r="Q251" s="93">
        <v>1.0</v>
      </c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>
        <v>1.0</v>
      </c>
      <c r="AC251" s="93">
        <v>1.0</v>
      </c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5" t="s">
        <v>95</v>
      </c>
      <c r="AR251" s="95" t="s">
        <v>95</v>
      </c>
      <c r="AS251" s="95" t="str">
        <f t="shared" si="87"/>
        <v>#VALUE!</v>
      </c>
      <c r="AT251" s="93" t="s">
        <v>997</v>
      </c>
      <c r="AU251" s="93"/>
      <c r="AV251" s="93"/>
      <c r="AW251" s="93"/>
      <c r="AX251" s="95"/>
      <c r="AY251" s="93"/>
      <c r="AZ251" s="95">
        <f t="shared" si="89"/>
        <v>46171</v>
      </c>
      <c r="BA251" s="95"/>
    </row>
    <row r="252" ht="30.75" customHeight="1">
      <c r="A252" s="93"/>
      <c r="B252" s="94" t="s">
        <v>82</v>
      </c>
      <c r="C252" s="94" t="s">
        <v>83</v>
      </c>
      <c r="D252" s="93"/>
      <c r="E252" s="93" t="s">
        <v>84</v>
      </c>
      <c r="F252" s="93"/>
      <c r="G252" s="93" t="s">
        <v>86</v>
      </c>
      <c r="H252" s="93" t="s">
        <v>98</v>
      </c>
      <c r="I252" s="93"/>
      <c r="J252" s="93" t="s">
        <v>985</v>
      </c>
      <c r="K252" s="93" t="s">
        <v>433</v>
      </c>
      <c r="L252" s="93" t="s">
        <v>998</v>
      </c>
      <c r="M252" s="93" t="s">
        <v>999</v>
      </c>
      <c r="N252" s="93"/>
      <c r="O252" s="93"/>
      <c r="P252" s="93">
        <v>12.0</v>
      </c>
      <c r="Q252" s="93">
        <v>1.0</v>
      </c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>
        <v>1.0</v>
      </c>
      <c r="AC252" s="93">
        <v>1.0</v>
      </c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5" t="s">
        <v>95</v>
      </c>
      <c r="AR252" s="95" t="s">
        <v>95</v>
      </c>
      <c r="AS252" s="95" t="str">
        <f t="shared" si="87"/>
        <v>#VALUE!</v>
      </c>
      <c r="AT252" s="93" t="s">
        <v>1000</v>
      </c>
      <c r="AU252" s="93"/>
      <c r="AV252" s="93"/>
      <c r="AW252" s="93"/>
      <c r="AX252" s="95"/>
      <c r="AY252" s="93"/>
      <c r="AZ252" s="95">
        <f t="shared" si="89"/>
        <v>46171</v>
      </c>
      <c r="BA252" s="95"/>
    </row>
    <row r="253" ht="30.75" customHeight="1">
      <c r="A253" s="93"/>
      <c r="B253" s="94" t="s">
        <v>82</v>
      </c>
      <c r="C253" s="110" t="s">
        <v>83</v>
      </c>
      <c r="D253" s="93">
        <v>46.0</v>
      </c>
      <c r="E253" s="111" t="s">
        <v>108</v>
      </c>
      <c r="F253" s="93" t="s">
        <v>98</v>
      </c>
      <c r="G253" s="93" t="s">
        <v>86</v>
      </c>
      <c r="H253" s="93" t="s">
        <v>1001</v>
      </c>
      <c r="I253" s="93" t="s">
        <v>88</v>
      </c>
      <c r="J253" s="93" t="s">
        <v>985</v>
      </c>
      <c r="K253" s="93" t="s">
        <v>902</v>
      </c>
      <c r="L253" s="93" t="s">
        <v>910</v>
      </c>
      <c r="M253" s="93">
        <v>4049040.0</v>
      </c>
      <c r="N253" s="93" t="s">
        <v>920</v>
      </c>
      <c r="O253" s="93" t="s">
        <v>942</v>
      </c>
      <c r="P253" s="111">
        <v>12.0</v>
      </c>
      <c r="Q253" s="111">
        <v>1.0</v>
      </c>
      <c r="R253" s="93"/>
      <c r="S253" s="93"/>
      <c r="T253" s="93"/>
      <c r="U253" s="93"/>
      <c r="V253" s="93">
        <v>1.0</v>
      </c>
      <c r="W253" s="93">
        <v>1.0</v>
      </c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 t="str">
        <f>#REF!</f>
        <v>#REF!</v>
      </c>
      <c r="AQ253" s="95">
        <v>45008.0</v>
      </c>
      <c r="AR253" s="95">
        <v>45008.0</v>
      </c>
      <c r="AS253" s="95">
        <f t="shared" si="87"/>
        <v>45374</v>
      </c>
      <c r="AT253" s="93" t="s">
        <v>1002</v>
      </c>
      <c r="AU253" s="93" t="s">
        <v>1003</v>
      </c>
      <c r="AV253" s="93" t="s">
        <v>1004</v>
      </c>
      <c r="AW253" s="93" t="s">
        <v>1005</v>
      </c>
      <c r="AX253" s="95" t="s">
        <v>99</v>
      </c>
      <c r="AY253" s="93" t="str">
        <f>#REF!</f>
        <v>#REF!</v>
      </c>
      <c r="AZ253" s="95">
        <f t="shared" si="89"/>
        <v>46171</v>
      </c>
      <c r="BA253" s="95"/>
    </row>
    <row r="254" ht="30.75" customHeight="1">
      <c r="A254" s="114"/>
      <c r="B254" s="115" t="s">
        <v>82</v>
      </c>
      <c r="C254" s="116" t="s">
        <v>83</v>
      </c>
      <c r="D254" s="114"/>
      <c r="E254" s="117" t="s">
        <v>108</v>
      </c>
      <c r="F254" s="114"/>
      <c r="G254" s="114" t="s">
        <v>86</v>
      </c>
      <c r="H254" s="114" t="s">
        <v>1001</v>
      </c>
      <c r="I254" s="114"/>
      <c r="J254" s="114" t="s">
        <v>985</v>
      </c>
      <c r="K254" s="114" t="s">
        <v>902</v>
      </c>
      <c r="L254" s="114" t="s">
        <v>992</v>
      </c>
      <c r="M254" s="114">
        <v>4049040.0</v>
      </c>
      <c r="N254" s="114"/>
      <c r="O254" s="114"/>
      <c r="P254" s="117">
        <v>12.0</v>
      </c>
      <c r="Q254" s="117">
        <v>1.0</v>
      </c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>
        <v>1.0</v>
      </c>
      <c r="AC254" s="114">
        <v>1.0</v>
      </c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8" t="s">
        <v>95</v>
      </c>
      <c r="AR254" s="118" t="s">
        <v>95</v>
      </c>
      <c r="AS254" s="118" t="str">
        <f t="shared" si="87"/>
        <v>#VALUE!</v>
      </c>
      <c r="AT254" s="114" t="s">
        <v>1006</v>
      </c>
      <c r="AU254" s="114"/>
      <c r="AV254" s="114"/>
      <c r="AW254" s="114"/>
      <c r="AX254" s="118"/>
      <c r="AY254" s="114"/>
      <c r="AZ254" s="118">
        <f t="shared" si="89"/>
        <v>46171</v>
      </c>
      <c r="BA254" s="118"/>
    </row>
    <row r="255" ht="30.75" customHeight="1">
      <c r="A255" s="114"/>
      <c r="B255" s="115" t="s">
        <v>82</v>
      </c>
      <c r="C255" s="116" t="s">
        <v>83</v>
      </c>
      <c r="D255" s="114"/>
      <c r="E255" s="117" t="s">
        <v>108</v>
      </c>
      <c r="F255" s="114"/>
      <c r="G255" s="114" t="s">
        <v>86</v>
      </c>
      <c r="H255" s="114" t="s">
        <v>98</v>
      </c>
      <c r="I255" s="114"/>
      <c r="J255" s="114" t="s">
        <v>985</v>
      </c>
      <c r="K255" s="114" t="s">
        <v>430</v>
      </c>
      <c r="L255" s="114" t="s">
        <v>1007</v>
      </c>
      <c r="M255" s="114" t="s">
        <v>1008</v>
      </c>
      <c r="N255" s="114"/>
      <c r="O255" s="114"/>
      <c r="P255" s="117">
        <v>12.0</v>
      </c>
      <c r="Q255" s="117">
        <v>1.0</v>
      </c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>
        <v>1.0</v>
      </c>
      <c r="AC255" s="114">
        <v>1.0</v>
      </c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8" t="s">
        <v>95</v>
      </c>
      <c r="AR255" s="118" t="s">
        <v>95</v>
      </c>
      <c r="AS255" s="118" t="str">
        <f t="shared" si="87"/>
        <v>#VALUE!</v>
      </c>
      <c r="AT255" s="114" t="s">
        <v>1009</v>
      </c>
      <c r="AU255" s="114"/>
      <c r="AV255" s="114"/>
      <c r="AW255" s="114"/>
      <c r="AX255" s="118"/>
      <c r="AY255" s="114"/>
      <c r="AZ255" s="118">
        <f t="shared" si="89"/>
        <v>46171</v>
      </c>
      <c r="BA255" s="118"/>
    </row>
    <row r="256" ht="30.75" customHeight="1">
      <c r="A256" s="93"/>
      <c r="B256" s="94" t="s">
        <v>82</v>
      </c>
      <c r="C256" s="94" t="s">
        <v>83</v>
      </c>
      <c r="D256" s="93">
        <v>4.0</v>
      </c>
      <c r="E256" s="93" t="s">
        <v>131</v>
      </c>
      <c r="F256" s="93" t="s">
        <v>98</v>
      </c>
      <c r="G256" s="93" t="s">
        <v>86</v>
      </c>
      <c r="H256" s="93" t="s">
        <v>1010</v>
      </c>
      <c r="I256" s="93" t="s">
        <v>88</v>
      </c>
      <c r="J256" s="93" t="s">
        <v>1011</v>
      </c>
      <c r="K256" s="93" t="s">
        <v>902</v>
      </c>
      <c r="L256" s="93" t="s">
        <v>919</v>
      </c>
      <c r="M256" s="93">
        <v>5045803.0</v>
      </c>
      <c r="N256" s="93" t="s">
        <v>920</v>
      </c>
      <c r="O256" s="93"/>
      <c r="P256" s="93">
        <v>12.0</v>
      </c>
      <c r="Q256" s="93" t="s">
        <v>98</v>
      </c>
      <c r="R256" s="93" t="s">
        <v>98</v>
      </c>
      <c r="S256" s="93" t="s">
        <v>98</v>
      </c>
      <c r="T256" s="93" t="s">
        <v>98</v>
      </c>
      <c r="U256" s="93" t="s">
        <v>98</v>
      </c>
      <c r="V256" s="93" t="s">
        <v>98</v>
      </c>
      <c r="W256" s="93" t="s">
        <v>98</v>
      </c>
      <c r="X256" s="93" t="s">
        <v>98</v>
      </c>
      <c r="Y256" s="93" t="s">
        <v>98</v>
      </c>
      <c r="Z256" s="93" t="s">
        <v>98</v>
      </c>
      <c r="AA256" s="93" t="s">
        <v>98</v>
      </c>
      <c r="AB256" s="93" t="s">
        <v>98</v>
      </c>
      <c r="AC256" s="93" t="s">
        <v>98</v>
      </c>
      <c r="AD256" s="93" t="s">
        <v>98</v>
      </c>
      <c r="AE256" s="93" t="s">
        <v>98</v>
      </c>
      <c r="AF256" s="93" t="s">
        <v>98</v>
      </c>
      <c r="AG256" s="93" t="s">
        <v>98</v>
      </c>
      <c r="AH256" s="93" t="s">
        <v>98</v>
      </c>
      <c r="AI256" s="93" t="s">
        <v>98</v>
      </c>
      <c r="AJ256" s="93" t="s">
        <v>98</v>
      </c>
      <c r="AK256" s="93" t="s">
        <v>98</v>
      </c>
      <c r="AL256" s="93" t="s">
        <v>98</v>
      </c>
      <c r="AM256" s="93" t="s">
        <v>98</v>
      </c>
      <c r="AN256" s="93" t="s">
        <v>98</v>
      </c>
      <c r="AO256" s="93" t="s">
        <v>98</v>
      </c>
      <c r="AP256" s="93" t="s">
        <v>790</v>
      </c>
      <c r="AQ256" s="93" t="s">
        <v>98</v>
      </c>
      <c r="AR256" s="93" t="s">
        <v>98</v>
      </c>
      <c r="AS256" s="93" t="e">
        <v>#VALUE!</v>
      </c>
      <c r="AT256" s="93" t="s">
        <v>98</v>
      </c>
      <c r="AU256" s="93" t="s">
        <v>98</v>
      </c>
      <c r="AV256" s="93" t="s">
        <v>98</v>
      </c>
      <c r="AW256" s="93" t="s">
        <v>98</v>
      </c>
      <c r="AX256" s="93" t="s">
        <v>113</v>
      </c>
      <c r="AY256" s="93" t="s">
        <v>790</v>
      </c>
      <c r="AZ256" s="95">
        <v>45370.0</v>
      </c>
      <c r="BA256" s="95"/>
    </row>
    <row r="257" ht="30.75" customHeight="1">
      <c r="A257" s="93"/>
      <c r="B257" s="94" t="s">
        <v>82</v>
      </c>
      <c r="C257" s="94" t="s">
        <v>83</v>
      </c>
      <c r="D257" s="93">
        <v>5.0</v>
      </c>
      <c r="E257" s="93" t="s">
        <v>131</v>
      </c>
      <c r="F257" s="93" t="s">
        <v>1012</v>
      </c>
      <c r="G257" s="93" t="s">
        <v>86</v>
      </c>
      <c r="H257" s="93" t="s">
        <v>98</v>
      </c>
      <c r="I257" s="93" t="s">
        <v>88</v>
      </c>
      <c r="J257" s="93" t="s">
        <v>1013</v>
      </c>
      <c r="K257" s="93" t="s">
        <v>1014</v>
      </c>
      <c r="L257" s="93" t="s">
        <v>933</v>
      </c>
      <c r="M257" s="93" t="s">
        <v>1015</v>
      </c>
      <c r="N257" s="93" t="s">
        <v>862</v>
      </c>
      <c r="O257" s="93" t="s">
        <v>678</v>
      </c>
      <c r="P257" s="93">
        <v>12.0</v>
      </c>
      <c r="Q257" s="93">
        <v>1.0</v>
      </c>
      <c r="R257" s="93"/>
      <c r="S257" s="93"/>
      <c r="T257" s="93"/>
      <c r="U257" s="93"/>
      <c r="V257" s="93">
        <v>1.0</v>
      </c>
      <c r="W257" s="93">
        <v>1.0</v>
      </c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>
        <v>0.0</v>
      </c>
      <c r="AQ257" s="95">
        <v>45008.0</v>
      </c>
      <c r="AR257" s="95">
        <v>45008.0</v>
      </c>
      <c r="AS257" s="95">
        <v>45374.0</v>
      </c>
      <c r="AT257" s="93" t="s">
        <v>1016</v>
      </c>
      <c r="AU257" s="93" t="s">
        <v>1017</v>
      </c>
      <c r="AV257" s="93" t="s">
        <v>1018</v>
      </c>
      <c r="AW257" s="93" t="s">
        <v>1019</v>
      </c>
      <c r="AX257" s="93" t="s">
        <v>99</v>
      </c>
      <c r="AY257" s="93">
        <v>0.0</v>
      </c>
      <c r="AZ257" s="95">
        <v>45370.0</v>
      </c>
      <c r="BA257" s="95"/>
    </row>
    <row r="258" ht="30.75" customHeight="1">
      <c r="A258" s="93" t="s">
        <v>81</v>
      </c>
      <c r="B258" s="94" t="s">
        <v>82</v>
      </c>
      <c r="C258" s="94" t="s">
        <v>83</v>
      </c>
      <c r="D258" s="93">
        <v>15.0</v>
      </c>
      <c r="E258" s="93" t="s">
        <v>116</v>
      </c>
      <c r="F258" s="93" t="s">
        <v>1020</v>
      </c>
      <c r="G258" s="93" t="s">
        <v>86</v>
      </c>
      <c r="H258" s="113" t="s">
        <v>1021</v>
      </c>
      <c r="I258" s="93" t="s">
        <v>88</v>
      </c>
      <c r="J258" s="93" t="s">
        <v>1013</v>
      </c>
      <c r="K258" s="93" t="s">
        <v>986</v>
      </c>
      <c r="L258" s="93" t="s">
        <v>987</v>
      </c>
      <c r="M258" s="102">
        <v>6.41960434E8</v>
      </c>
      <c r="N258" s="93"/>
      <c r="O258" s="93" t="s">
        <v>942</v>
      </c>
      <c r="P258" s="93">
        <v>12.0</v>
      </c>
      <c r="Q258" s="93">
        <v>1.0</v>
      </c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>
        <v>1.0</v>
      </c>
      <c r="AC258" s="93">
        <v>1.0</v>
      </c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 t="str">
        <f>#REF!</f>
        <v>#REF!</v>
      </c>
      <c r="AQ258" s="95"/>
      <c r="AR258" s="95"/>
      <c r="AS258" s="95">
        <f t="shared" ref="AS258:AS260" si="90">DATE(YEAR(AQ258),MONTH(AQ258)+P258,DAY(AQ258))</f>
        <v>694326</v>
      </c>
      <c r="AT258" s="93"/>
      <c r="AU258" s="93" t="s">
        <v>98</v>
      </c>
      <c r="AV258" s="93" t="s">
        <v>98</v>
      </c>
      <c r="AW258" s="93" t="s">
        <v>98</v>
      </c>
      <c r="AX258" s="95" t="s">
        <v>99</v>
      </c>
      <c r="AY258" s="93" t="str">
        <f>#REF!</f>
        <v>#REF!</v>
      </c>
      <c r="AZ258" s="95">
        <f t="shared" ref="AZ258:AZ297" si="91">TODAY()</f>
        <v>46171</v>
      </c>
      <c r="BA258" s="95"/>
    </row>
    <row r="259" ht="30.75" customHeight="1">
      <c r="A259" s="93"/>
      <c r="B259" s="94" t="s">
        <v>82</v>
      </c>
      <c r="C259" s="94" t="s">
        <v>83</v>
      </c>
      <c r="D259" s="93"/>
      <c r="E259" s="93" t="s">
        <v>153</v>
      </c>
      <c r="F259" s="93"/>
      <c r="G259" s="93" t="s">
        <v>86</v>
      </c>
      <c r="H259" s="93" t="s">
        <v>908</v>
      </c>
      <c r="I259" s="93"/>
      <c r="J259" s="93" t="s">
        <v>1013</v>
      </c>
      <c r="K259" s="93" t="s">
        <v>1022</v>
      </c>
      <c r="L259" s="93" t="s">
        <v>1023</v>
      </c>
      <c r="M259" s="93">
        <v>1.0192654E7</v>
      </c>
      <c r="N259" s="93"/>
      <c r="O259" s="93"/>
      <c r="P259" s="93">
        <v>12.0</v>
      </c>
      <c r="Q259" s="93">
        <v>1.0</v>
      </c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>
        <v>1.0</v>
      </c>
      <c r="AC259" s="93">
        <v>1.0</v>
      </c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5" t="s">
        <v>95</v>
      </c>
      <c r="AR259" s="95" t="s">
        <v>95</v>
      </c>
      <c r="AS259" s="95" t="str">
        <f t="shared" si="90"/>
        <v>#VALUE!</v>
      </c>
      <c r="AT259" s="93" t="s">
        <v>1024</v>
      </c>
      <c r="AU259" s="93"/>
      <c r="AV259" s="93"/>
      <c r="AW259" s="93"/>
      <c r="AX259" s="95"/>
      <c r="AY259" s="93"/>
      <c r="AZ259" s="95">
        <f t="shared" si="91"/>
        <v>46171</v>
      </c>
      <c r="BA259" s="95"/>
    </row>
    <row r="260" ht="30.75" customHeight="1">
      <c r="A260" s="93"/>
      <c r="B260" s="94" t="s">
        <v>82</v>
      </c>
      <c r="C260" s="94" t="s">
        <v>83</v>
      </c>
      <c r="D260" s="93"/>
      <c r="E260" s="93" t="s">
        <v>153</v>
      </c>
      <c r="F260" s="93"/>
      <c r="G260" s="93" t="s">
        <v>86</v>
      </c>
      <c r="H260" s="93" t="s">
        <v>912</v>
      </c>
      <c r="I260" s="93"/>
      <c r="J260" s="93" t="s">
        <v>1013</v>
      </c>
      <c r="K260" s="93" t="s">
        <v>902</v>
      </c>
      <c r="L260" s="93" t="s">
        <v>1023</v>
      </c>
      <c r="M260" s="93">
        <v>1.3520219E7</v>
      </c>
      <c r="N260" s="93"/>
      <c r="O260" s="93"/>
      <c r="P260" s="93">
        <v>12.0</v>
      </c>
      <c r="Q260" s="93">
        <v>1.0</v>
      </c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>
        <v>1.0</v>
      </c>
      <c r="AC260" s="93">
        <v>1.0</v>
      </c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5" t="s">
        <v>95</v>
      </c>
      <c r="AR260" s="95" t="s">
        <v>95</v>
      </c>
      <c r="AS260" s="95" t="str">
        <f t="shared" si="90"/>
        <v>#VALUE!</v>
      </c>
      <c r="AT260" s="93" t="s">
        <v>1025</v>
      </c>
      <c r="AU260" s="93"/>
      <c r="AV260" s="93"/>
      <c r="AW260" s="93"/>
      <c r="AX260" s="95"/>
      <c r="AY260" s="93"/>
      <c r="AZ260" s="95">
        <f t="shared" si="91"/>
        <v>46171</v>
      </c>
      <c r="BA260" s="95"/>
    </row>
    <row r="261" ht="30.75" customHeight="1">
      <c r="A261" s="93" t="s">
        <v>81</v>
      </c>
      <c r="B261" s="94" t="s">
        <v>82</v>
      </c>
      <c r="C261" s="94" t="s">
        <v>83</v>
      </c>
      <c r="D261" s="93"/>
      <c r="E261" s="93" t="s">
        <v>153</v>
      </c>
      <c r="F261" s="93"/>
      <c r="G261" s="93" t="s">
        <v>86</v>
      </c>
      <c r="H261" s="93" t="s">
        <v>98</v>
      </c>
      <c r="I261" s="93"/>
      <c r="J261" s="93" t="s">
        <v>1013</v>
      </c>
      <c r="K261" s="93" t="s">
        <v>928</v>
      </c>
      <c r="L261" s="93" t="s">
        <v>1023</v>
      </c>
      <c r="M261" s="93">
        <v>3.8185658E7</v>
      </c>
      <c r="N261" s="93"/>
      <c r="O261" s="93"/>
      <c r="P261" s="93">
        <v>12.0</v>
      </c>
      <c r="Q261" s="93">
        <v>1.0</v>
      </c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>
        <v>1.0</v>
      </c>
      <c r="AK261" s="93">
        <v>1.0</v>
      </c>
      <c r="AL261" s="93"/>
      <c r="AM261" s="93"/>
      <c r="AN261" s="93"/>
      <c r="AO261" s="93"/>
      <c r="AP261" s="93"/>
      <c r="AQ261" s="93" t="s">
        <v>905</v>
      </c>
      <c r="AR261" s="93" t="s">
        <v>905</v>
      </c>
      <c r="AS261" s="93" t="s">
        <v>1026</v>
      </c>
      <c r="AT261" s="93" t="s">
        <v>1027</v>
      </c>
      <c r="AU261" s="93"/>
      <c r="AV261" s="93"/>
      <c r="AW261" s="93"/>
      <c r="AX261" s="95"/>
      <c r="AY261" s="93"/>
      <c r="AZ261" s="95">
        <f t="shared" si="91"/>
        <v>46171</v>
      </c>
      <c r="BA261" s="95"/>
    </row>
    <row r="262" ht="30.75" customHeight="1">
      <c r="A262" s="93" t="s">
        <v>81</v>
      </c>
      <c r="B262" s="94" t="s">
        <v>82</v>
      </c>
      <c r="C262" s="94" t="s">
        <v>83</v>
      </c>
      <c r="D262" s="93"/>
      <c r="E262" s="93" t="s">
        <v>153</v>
      </c>
      <c r="F262" s="93"/>
      <c r="G262" s="93" t="s">
        <v>86</v>
      </c>
      <c r="H262" s="93" t="s">
        <v>98</v>
      </c>
      <c r="I262" s="93"/>
      <c r="J262" s="93" t="s">
        <v>1013</v>
      </c>
      <c r="K262" s="93" t="s">
        <v>430</v>
      </c>
      <c r="L262" s="93" t="s">
        <v>1028</v>
      </c>
      <c r="M262" s="93" t="s">
        <v>1029</v>
      </c>
      <c r="N262" s="93"/>
      <c r="O262" s="93"/>
      <c r="P262" s="93">
        <v>12.0</v>
      </c>
      <c r="Q262" s="93">
        <v>1.0</v>
      </c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>
        <v>1.0</v>
      </c>
      <c r="AI262" s="93">
        <v>1.0</v>
      </c>
      <c r="AJ262" s="93"/>
      <c r="AK262" s="93"/>
      <c r="AL262" s="93"/>
      <c r="AM262" s="93"/>
      <c r="AN262" s="93"/>
      <c r="AO262" s="93"/>
      <c r="AP262" s="93"/>
      <c r="AQ262" s="93" t="s">
        <v>924</v>
      </c>
      <c r="AR262" s="93" t="s">
        <v>924</v>
      </c>
      <c r="AS262" s="93" t="s">
        <v>925</v>
      </c>
      <c r="AT262" s="93" t="s">
        <v>1030</v>
      </c>
      <c r="AU262" s="93"/>
      <c r="AV262" s="93"/>
      <c r="AW262" s="93"/>
      <c r="AX262" s="93" t="s">
        <v>99</v>
      </c>
      <c r="AY262" s="93"/>
      <c r="AZ262" s="95">
        <f t="shared" si="91"/>
        <v>46171</v>
      </c>
      <c r="BA262" s="95"/>
    </row>
    <row r="263" ht="30.75" customHeight="1">
      <c r="A263" s="93" t="s">
        <v>81</v>
      </c>
      <c r="B263" s="94" t="s">
        <v>82</v>
      </c>
      <c r="C263" s="94" t="s">
        <v>83</v>
      </c>
      <c r="D263" s="93"/>
      <c r="E263" s="93" t="s">
        <v>153</v>
      </c>
      <c r="F263" s="93"/>
      <c r="G263" s="93" t="s">
        <v>86</v>
      </c>
      <c r="H263" s="93" t="s">
        <v>98</v>
      </c>
      <c r="I263" s="93"/>
      <c r="J263" s="93" t="s">
        <v>1013</v>
      </c>
      <c r="K263" s="93" t="s">
        <v>430</v>
      </c>
      <c r="L263" s="93" t="s">
        <v>1028</v>
      </c>
      <c r="M263" s="93" t="s">
        <v>1031</v>
      </c>
      <c r="N263" s="93"/>
      <c r="O263" s="93"/>
      <c r="P263" s="93">
        <v>12.0</v>
      </c>
      <c r="Q263" s="93">
        <v>1.0</v>
      </c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>
        <v>1.0</v>
      </c>
      <c r="AI263" s="93">
        <v>1.0</v>
      </c>
      <c r="AJ263" s="93"/>
      <c r="AK263" s="93"/>
      <c r="AL263" s="93"/>
      <c r="AM263" s="93"/>
      <c r="AN263" s="93"/>
      <c r="AO263" s="93"/>
      <c r="AP263" s="93"/>
      <c r="AQ263" s="93" t="s">
        <v>924</v>
      </c>
      <c r="AR263" s="93" t="s">
        <v>924</v>
      </c>
      <c r="AS263" s="93" t="s">
        <v>925</v>
      </c>
      <c r="AT263" s="93" t="s">
        <v>1032</v>
      </c>
      <c r="AU263" s="93"/>
      <c r="AV263" s="93"/>
      <c r="AW263" s="93"/>
      <c r="AX263" s="93" t="s">
        <v>99</v>
      </c>
      <c r="AY263" s="93"/>
      <c r="AZ263" s="95">
        <f t="shared" si="91"/>
        <v>46171</v>
      </c>
      <c r="BA263" s="95"/>
    </row>
    <row r="264" ht="30.75" customHeight="1">
      <c r="A264" s="93"/>
      <c r="B264" s="94" t="s">
        <v>82</v>
      </c>
      <c r="C264" s="94" t="s">
        <v>83</v>
      </c>
      <c r="D264" s="93"/>
      <c r="E264" s="93" t="s">
        <v>153</v>
      </c>
      <c r="F264" s="93"/>
      <c r="G264" s="93" t="s">
        <v>86</v>
      </c>
      <c r="H264" s="93" t="s">
        <v>98</v>
      </c>
      <c r="I264" s="93"/>
      <c r="J264" s="93" t="s">
        <v>1013</v>
      </c>
      <c r="K264" s="93" t="s">
        <v>1022</v>
      </c>
      <c r="L264" s="93" t="s">
        <v>1033</v>
      </c>
      <c r="M264" s="93" t="s">
        <v>1034</v>
      </c>
      <c r="N264" s="93"/>
      <c r="O264" s="93"/>
      <c r="P264" s="93">
        <v>12.0</v>
      </c>
      <c r="Q264" s="93">
        <v>1.0</v>
      </c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>
        <v>1.0</v>
      </c>
      <c r="AC264" s="93">
        <v>1.0</v>
      </c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5" t="s">
        <v>95</v>
      </c>
      <c r="AR264" s="95" t="s">
        <v>95</v>
      </c>
      <c r="AS264" s="95" t="str">
        <f t="shared" ref="AS264:AS275" si="92">DATE(YEAR(AQ264),MONTH(AQ264)+P264,DAY(AQ264))</f>
        <v>#VALUE!</v>
      </c>
      <c r="AT264" s="93" t="s">
        <v>1035</v>
      </c>
      <c r="AU264" s="93"/>
      <c r="AV264" s="93"/>
      <c r="AW264" s="93"/>
      <c r="AX264" s="95"/>
      <c r="AY264" s="93"/>
      <c r="AZ264" s="95">
        <f t="shared" si="91"/>
        <v>46171</v>
      </c>
      <c r="BA264" s="95"/>
    </row>
    <row r="265" ht="30.75" customHeight="1">
      <c r="A265" s="93" t="s">
        <v>81</v>
      </c>
      <c r="B265" s="94" t="s">
        <v>82</v>
      </c>
      <c r="C265" s="94" t="s">
        <v>83</v>
      </c>
      <c r="D265" s="93"/>
      <c r="E265" s="93" t="s">
        <v>336</v>
      </c>
      <c r="F265" s="93"/>
      <c r="G265" s="93" t="s">
        <v>86</v>
      </c>
      <c r="H265" s="93" t="s">
        <v>1036</v>
      </c>
      <c r="I265" s="93"/>
      <c r="J265" s="93" t="s">
        <v>1013</v>
      </c>
      <c r="K265" s="93" t="s">
        <v>902</v>
      </c>
      <c r="L265" s="93" t="s">
        <v>1023</v>
      </c>
      <c r="M265" s="93">
        <v>9116916.0</v>
      </c>
      <c r="N265" s="111" t="s">
        <v>904</v>
      </c>
      <c r="O265" s="93"/>
      <c r="P265" s="93">
        <v>12.0</v>
      </c>
      <c r="Q265" s="93">
        <v>1.0</v>
      </c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>
        <v>1.0</v>
      </c>
      <c r="AC265" s="93">
        <v>1.0</v>
      </c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5" t="s">
        <v>95</v>
      </c>
      <c r="AR265" s="95" t="s">
        <v>95</v>
      </c>
      <c r="AS265" s="95" t="str">
        <f t="shared" si="92"/>
        <v>#VALUE!</v>
      </c>
      <c r="AT265" s="93" t="s">
        <v>1037</v>
      </c>
      <c r="AU265" s="93" t="s">
        <v>1038</v>
      </c>
      <c r="AV265" s="93"/>
      <c r="AW265" s="93"/>
      <c r="AX265" s="95" t="s">
        <v>99</v>
      </c>
      <c r="AY265" s="93"/>
      <c r="AZ265" s="95">
        <f t="shared" si="91"/>
        <v>46171</v>
      </c>
      <c r="BA265" s="126" t="s">
        <v>423</v>
      </c>
    </row>
    <row r="266" ht="30.75" customHeight="1">
      <c r="A266" s="93"/>
      <c r="B266" s="94" t="s">
        <v>82</v>
      </c>
      <c r="C266" s="94" t="s">
        <v>83</v>
      </c>
      <c r="D266" s="93">
        <v>12.0</v>
      </c>
      <c r="E266" s="93" t="s">
        <v>336</v>
      </c>
      <c r="F266" s="93" t="s">
        <v>98</v>
      </c>
      <c r="G266" s="93" t="s">
        <v>86</v>
      </c>
      <c r="H266" s="93" t="s">
        <v>1039</v>
      </c>
      <c r="I266" s="93" t="s">
        <v>88</v>
      </c>
      <c r="J266" s="93" t="s">
        <v>1011</v>
      </c>
      <c r="K266" s="93" t="s">
        <v>902</v>
      </c>
      <c r="L266" s="93" t="s">
        <v>1040</v>
      </c>
      <c r="M266" s="93">
        <v>5068356.0</v>
      </c>
      <c r="N266" s="93" t="s">
        <v>920</v>
      </c>
      <c r="O266" s="93" t="s">
        <v>652</v>
      </c>
      <c r="P266" s="93">
        <v>12.0</v>
      </c>
      <c r="Q266" s="93" t="s">
        <v>98</v>
      </c>
      <c r="R266" s="93" t="s">
        <v>98</v>
      </c>
      <c r="S266" s="93" t="s">
        <v>98</v>
      </c>
      <c r="T266" s="93" t="s">
        <v>98</v>
      </c>
      <c r="U266" s="93" t="s">
        <v>98</v>
      </c>
      <c r="V266" s="93" t="s">
        <v>98</v>
      </c>
      <c r="W266" s="93" t="s">
        <v>98</v>
      </c>
      <c r="X266" s="93" t="s">
        <v>98</v>
      </c>
      <c r="Y266" s="93" t="s">
        <v>98</v>
      </c>
      <c r="Z266" s="93" t="s">
        <v>98</v>
      </c>
      <c r="AA266" s="93" t="s">
        <v>98</v>
      </c>
      <c r="AB266" s="93" t="s">
        <v>98</v>
      </c>
      <c r="AC266" s="93" t="s">
        <v>98</v>
      </c>
      <c r="AD266" s="93" t="s">
        <v>98</v>
      </c>
      <c r="AE266" s="93" t="s">
        <v>98</v>
      </c>
      <c r="AF266" s="93" t="s">
        <v>98</v>
      </c>
      <c r="AG266" s="93" t="s">
        <v>98</v>
      </c>
      <c r="AH266" s="93" t="s">
        <v>98</v>
      </c>
      <c r="AI266" s="93" t="s">
        <v>98</v>
      </c>
      <c r="AJ266" s="93" t="s">
        <v>98</v>
      </c>
      <c r="AK266" s="93" t="s">
        <v>98</v>
      </c>
      <c r="AL266" s="93" t="s">
        <v>98</v>
      </c>
      <c r="AM266" s="93" t="s">
        <v>98</v>
      </c>
      <c r="AN266" s="93" t="s">
        <v>98</v>
      </c>
      <c r="AO266" s="93" t="s">
        <v>98</v>
      </c>
      <c r="AP266" s="93" t="str">
        <f t="shared" ref="AP266:AP268" si="93">#REF!</f>
        <v>#REF!</v>
      </c>
      <c r="AQ266" s="93" t="s">
        <v>98</v>
      </c>
      <c r="AR266" s="93" t="s">
        <v>98</v>
      </c>
      <c r="AS266" s="95" t="str">
        <f t="shared" si="92"/>
        <v>#VALUE!</v>
      </c>
      <c r="AT266" s="93" t="s">
        <v>98</v>
      </c>
      <c r="AU266" s="93" t="s">
        <v>98</v>
      </c>
      <c r="AV266" s="93" t="s">
        <v>98</v>
      </c>
      <c r="AW266" s="93" t="s">
        <v>98</v>
      </c>
      <c r="AX266" s="93" t="s">
        <v>113</v>
      </c>
      <c r="AY266" s="93" t="str">
        <f t="shared" ref="AY266:AY268" si="94">#REF!</f>
        <v>#REF!</v>
      </c>
      <c r="AZ266" s="95">
        <f t="shared" si="91"/>
        <v>46171</v>
      </c>
      <c r="BA266" s="95"/>
    </row>
    <row r="267" ht="30.75" customHeight="1">
      <c r="A267" s="93"/>
      <c r="B267" s="94" t="s">
        <v>82</v>
      </c>
      <c r="C267" s="94" t="s">
        <v>83</v>
      </c>
      <c r="D267" s="93">
        <v>11.0</v>
      </c>
      <c r="E267" s="93" t="s">
        <v>336</v>
      </c>
      <c r="F267" s="93" t="s">
        <v>98</v>
      </c>
      <c r="G267" s="93" t="s">
        <v>86</v>
      </c>
      <c r="H267" s="93" t="s">
        <v>1041</v>
      </c>
      <c r="I267" s="93" t="s">
        <v>88</v>
      </c>
      <c r="J267" s="93" t="s">
        <v>1011</v>
      </c>
      <c r="K267" s="93" t="s">
        <v>902</v>
      </c>
      <c r="L267" s="93" t="s">
        <v>919</v>
      </c>
      <c r="M267" s="93">
        <v>6130627.0</v>
      </c>
      <c r="N267" s="93" t="s">
        <v>920</v>
      </c>
      <c r="O267" s="93" t="s">
        <v>652</v>
      </c>
      <c r="P267" s="93">
        <v>12.0</v>
      </c>
      <c r="Q267" s="93" t="s">
        <v>98</v>
      </c>
      <c r="R267" s="93" t="s">
        <v>98</v>
      </c>
      <c r="S267" s="93" t="s">
        <v>98</v>
      </c>
      <c r="T267" s="93" t="s">
        <v>98</v>
      </c>
      <c r="U267" s="93" t="s">
        <v>98</v>
      </c>
      <c r="V267" s="93" t="s">
        <v>98</v>
      </c>
      <c r="W267" s="93" t="s">
        <v>98</v>
      </c>
      <c r="X267" s="93" t="s">
        <v>98</v>
      </c>
      <c r="Y267" s="93" t="s">
        <v>98</v>
      </c>
      <c r="Z267" s="93" t="s">
        <v>98</v>
      </c>
      <c r="AA267" s="93" t="s">
        <v>98</v>
      </c>
      <c r="AB267" s="93" t="s">
        <v>98</v>
      </c>
      <c r="AC267" s="93" t="s">
        <v>98</v>
      </c>
      <c r="AD267" s="93" t="s">
        <v>98</v>
      </c>
      <c r="AE267" s="93" t="s">
        <v>98</v>
      </c>
      <c r="AF267" s="93" t="s">
        <v>98</v>
      </c>
      <c r="AG267" s="93" t="s">
        <v>98</v>
      </c>
      <c r="AH267" s="93" t="s">
        <v>98</v>
      </c>
      <c r="AI267" s="93" t="s">
        <v>98</v>
      </c>
      <c r="AJ267" s="93" t="s">
        <v>98</v>
      </c>
      <c r="AK267" s="93" t="s">
        <v>98</v>
      </c>
      <c r="AL267" s="93" t="s">
        <v>98</v>
      </c>
      <c r="AM267" s="93" t="s">
        <v>98</v>
      </c>
      <c r="AN267" s="93" t="s">
        <v>98</v>
      </c>
      <c r="AO267" s="93" t="s">
        <v>98</v>
      </c>
      <c r="AP267" s="93" t="str">
        <f t="shared" si="93"/>
        <v>#REF!</v>
      </c>
      <c r="AQ267" s="93" t="s">
        <v>98</v>
      </c>
      <c r="AR267" s="93" t="s">
        <v>98</v>
      </c>
      <c r="AS267" s="95" t="str">
        <f t="shared" si="92"/>
        <v>#VALUE!</v>
      </c>
      <c r="AT267" s="93" t="s">
        <v>98</v>
      </c>
      <c r="AU267" s="93" t="s">
        <v>98</v>
      </c>
      <c r="AV267" s="93" t="s">
        <v>98</v>
      </c>
      <c r="AW267" s="93" t="s">
        <v>98</v>
      </c>
      <c r="AX267" s="93" t="s">
        <v>113</v>
      </c>
      <c r="AY267" s="93" t="str">
        <f t="shared" si="94"/>
        <v>#REF!</v>
      </c>
      <c r="AZ267" s="95">
        <f t="shared" si="91"/>
        <v>46171</v>
      </c>
      <c r="BA267" s="95"/>
    </row>
    <row r="268" ht="30.75" customHeight="1">
      <c r="A268" s="93"/>
      <c r="B268" s="94" t="s">
        <v>82</v>
      </c>
      <c r="C268" s="94" t="s">
        <v>83</v>
      </c>
      <c r="D268" s="93">
        <v>10.0</v>
      </c>
      <c r="E268" s="93" t="s">
        <v>336</v>
      </c>
      <c r="F268" s="93" t="s">
        <v>98</v>
      </c>
      <c r="G268" s="93" t="s">
        <v>86</v>
      </c>
      <c r="H268" s="93" t="s">
        <v>1036</v>
      </c>
      <c r="I268" s="93" t="s">
        <v>88</v>
      </c>
      <c r="J268" s="93" t="s">
        <v>1013</v>
      </c>
      <c r="K268" s="93" t="s">
        <v>902</v>
      </c>
      <c r="L268" s="93" t="s">
        <v>933</v>
      </c>
      <c r="M268" s="93">
        <v>9116916.0</v>
      </c>
      <c r="N268" s="93" t="s">
        <v>920</v>
      </c>
      <c r="O268" s="93" t="s">
        <v>652</v>
      </c>
      <c r="P268" s="93">
        <v>12.0</v>
      </c>
      <c r="Q268" s="93">
        <v>1.0</v>
      </c>
      <c r="R268" s="93"/>
      <c r="S268" s="93"/>
      <c r="T268" s="93"/>
      <c r="U268" s="93"/>
      <c r="V268" s="93">
        <v>1.0</v>
      </c>
      <c r="W268" s="93">
        <v>1.0</v>
      </c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 t="str">
        <f t="shared" si="93"/>
        <v>#REF!</v>
      </c>
      <c r="AQ268" s="95">
        <v>45008.0</v>
      </c>
      <c r="AR268" s="95">
        <v>45008.0</v>
      </c>
      <c r="AS268" s="95">
        <f t="shared" si="92"/>
        <v>45374</v>
      </c>
      <c r="AT268" s="93" t="s">
        <v>1042</v>
      </c>
      <c r="AU268" s="93" t="s">
        <v>1043</v>
      </c>
      <c r="AV268" s="93" t="s">
        <v>945</v>
      </c>
      <c r="AW268" s="93" t="s">
        <v>1044</v>
      </c>
      <c r="AX268" s="95" t="s">
        <v>99</v>
      </c>
      <c r="AY268" s="93" t="str">
        <f t="shared" si="94"/>
        <v>#REF!</v>
      </c>
      <c r="AZ268" s="95">
        <f t="shared" si="91"/>
        <v>46171</v>
      </c>
      <c r="BA268" s="95"/>
    </row>
    <row r="269" ht="30.75" customHeight="1">
      <c r="A269" s="93"/>
      <c r="B269" s="94" t="s">
        <v>82</v>
      </c>
      <c r="C269" s="94" t="s">
        <v>83</v>
      </c>
      <c r="D269" s="93"/>
      <c r="E269" s="93" t="s">
        <v>84</v>
      </c>
      <c r="F269" s="93"/>
      <c r="G269" s="93" t="s">
        <v>86</v>
      </c>
      <c r="H269" s="93" t="s">
        <v>98</v>
      </c>
      <c r="I269" s="93"/>
      <c r="J269" s="93" t="s">
        <v>1013</v>
      </c>
      <c r="K269" s="93" t="s">
        <v>902</v>
      </c>
      <c r="L269" s="93" t="s">
        <v>1023</v>
      </c>
      <c r="M269" s="93">
        <v>9116920.0</v>
      </c>
      <c r="N269" s="93"/>
      <c r="O269" s="93"/>
      <c r="P269" s="93">
        <v>12.0</v>
      </c>
      <c r="Q269" s="93">
        <v>1.0</v>
      </c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>
        <v>1.0</v>
      </c>
      <c r="AC269" s="93">
        <v>1.0</v>
      </c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5" t="s">
        <v>95</v>
      </c>
      <c r="AR269" s="95" t="s">
        <v>95</v>
      </c>
      <c r="AS269" s="95" t="str">
        <f t="shared" si="92"/>
        <v>#VALUE!</v>
      </c>
      <c r="AT269" s="93" t="s">
        <v>1045</v>
      </c>
      <c r="AU269" s="93"/>
      <c r="AV269" s="93"/>
      <c r="AW269" s="93"/>
      <c r="AX269" s="95"/>
      <c r="AY269" s="93"/>
      <c r="AZ269" s="95">
        <f t="shared" si="91"/>
        <v>46171</v>
      </c>
      <c r="BA269" s="95"/>
    </row>
    <row r="270" ht="30.75" customHeight="1">
      <c r="A270" s="93"/>
      <c r="B270" s="94" t="s">
        <v>82</v>
      </c>
      <c r="C270" s="94" t="s">
        <v>83</v>
      </c>
      <c r="D270" s="93"/>
      <c r="E270" s="93" t="s">
        <v>84</v>
      </c>
      <c r="F270" s="93"/>
      <c r="G270" s="93" t="s">
        <v>86</v>
      </c>
      <c r="H270" s="93" t="s">
        <v>98</v>
      </c>
      <c r="I270" s="93"/>
      <c r="J270" s="93" t="s">
        <v>1013</v>
      </c>
      <c r="K270" s="93" t="s">
        <v>433</v>
      </c>
      <c r="L270" s="93" t="s">
        <v>1046</v>
      </c>
      <c r="M270" s="93" t="s">
        <v>1047</v>
      </c>
      <c r="N270" s="93"/>
      <c r="O270" s="93"/>
      <c r="P270" s="93">
        <v>12.0</v>
      </c>
      <c r="Q270" s="93">
        <v>1.0</v>
      </c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>
        <v>1.0</v>
      </c>
      <c r="AC270" s="93">
        <v>1.0</v>
      </c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5" t="s">
        <v>95</v>
      </c>
      <c r="AR270" s="95" t="s">
        <v>95</v>
      </c>
      <c r="AS270" s="95" t="str">
        <f t="shared" si="92"/>
        <v>#VALUE!</v>
      </c>
      <c r="AT270" s="93" t="s">
        <v>1048</v>
      </c>
      <c r="AU270" s="93"/>
      <c r="AV270" s="93"/>
      <c r="AW270" s="93"/>
      <c r="AX270" s="95"/>
      <c r="AY270" s="93"/>
      <c r="AZ270" s="95">
        <f t="shared" si="91"/>
        <v>46171</v>
      </c>
      <c r="BA270" s="95"/>
    </row>
    <row r="271" ht="30.75" customHeight="1">
      <c r="A271" s="93"/>
      <c r="B271" s="94" t="s">
        <v>82</v>
      </c>
      <c r="C271" s="94" t="s">
        <v>83</v>
      </c>
      <c r="D271" s="93"/>
      <c r="E271" s="93" t="s">
        <v>545</v>
      </c>
      <c r="F271" s="93"/>
      <c r="G271" s="93" t="s">
        <v>86</v>
      </c>
      <c r="H271" s="93" t="s">
        <v>98</v>
      </c>
      <c r="I271" s="93"/>
      <c r="J271" s="93" t="s">
        <v>1013</v>
      </c>
      <c r="K271" s="93" t="s">
        <v>1049</v>
      </c>
      <c r="L271" s="93" t="s">
        <v>1050</v>
      </c>
      <c r="M271" s="93" t="s">
        <v>1051</v>
      </c>
      <c r="N271" s="93"/>
      <c r="O271" s="93"/>
      <c r="P271" s="93">
        <v>12.0</v>
      </c>
      <c r="Q271" s="93">
        <v>1.0</v>
      </c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>
        <v>1.0</v>
      </c>
      <c r="AC271" s="93">
        <v>1.0</v>
      </c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5" t="s">
        <v>95</v>
      </c>
      <c r="AR271" s="95" t="s">
        <v>95</v>
      </c>
      <c r="AS271" s="95" t="str">
        <f t="shared" si="92"/>
        <v>#VALUE!</v>
      </c>
      <c r="AT271" s="93" t="s">
        <v>1052</v>
      </c>
      <c r="AU271" s="93"/>
      <c r="AV271" s="93"/>
      <c r="AW271" s="93"/>
      <c r="AX271" s="95"/>
      <c r="AY271" s="93"/>
      <c r="AZ271" s="95">
        <f t="shared" si="91"/>
        <v>46171</v>
      </c>
      <c r="BA271" s="95"/>
    </row>
    <row r="272" ht="30.75" customHeight="1">
      <c r="A272" s="93" t="s">
        <v>81</v>
      </c>
      <c r="B272" s="94" t="s">
        <v>82</v>
      </c>
      <c r="C272" s="94" t="s">
        <v>83</v>
      </c>
      <c r="D272" s="93">
        <v>13.0</v>
      </c>
      <c r="E272" s="93" t="s">
        <v>173</v>
      </c>
      <c r="F272" s="93" t="s">
        <v>98</v>
      </c>
      <c r="G272" s="93" t="s">
        <v>86</v>
      </c>
      <c r="H272" s="93" t="s">
        <v>1053</v>
      </c>
      <c r="I272" s="93" t="s">
        <v>88</v>
      </c>
      <c r="J272" s="93" t="s">
        <v>1011</v>
      </c>
      <c r="K272" s="93" t="s">
        <v>902</v>
      </c>
      <c r="L272" s="93" t="s">
        <v>1054</v>
      </c>
      <c r="M272" s="93">
        <v>1.0192706E7</v>
      </c>
      <c r="N272" s="93" t="s">
        <v>98</v>
      </c>
      <c r="O272" s="93" t="s">
        <v>942</v>
      </c>
      <c r="P272" s="93">
        <v>12.0</v>
      </c>
      <c r="Q272" s="93" t="s">
        <v>98</v>
      </c>
      <c r="R272" s="93" t="s">
        <v>98</v>
      </c>
      <c r="S272" s="93" t="s">
        <v>98</v>
      </c>
      <c r="T272" s="93" t="s">
        <v>98</v>
      </c>
      <c r="U272" s="93" t="s">
        <v>98</v>
      </c>
      <c r="V272" s="93" t="s">
        <v>98</v>
      </c>
      <c r="W272" s="93" t="s">
        <v>98</v>
      </c>
      <c r="X272" s="93" t="s">
        <v>98</v>
      </c>
      <c r="Y272" s="93" t="s">
        <v>98</v>
      </c>
      <c r="Z272" s="93" t="s">
        <v>98</v>
      </c>
      <c r="AA272" s="93" t="s">
        <v>98</v>
      </c>
      <c r="AB272" s="93" t="s">
        <v>98</v>
      </c>
      <c r="AC272" s="93" t="s">
        <v>98</v>
      </c>
      <c r="AD272" s="93" t="s">
        <v>98</v>
      </c>
      <c r="AE272" s="93" t="s">
        <v>98</v>
      </c>
      <c r="AF272" s="93" t="s">
        <v>98</v>
      </c>
      <c r="AG272" s="93" t="s">
        <v>98</v>
      </c>
      <c r="AH272" s="93" t="s">
        <v>98</v>
      </c>
      <c r="AI272" s="93" t="s">
        <v>98</v>
      </c>
      <c r="AJ272" s="93" t="s">
        <v>98</v>
      </c>
      <c r="AK272" s="93" t="s">
        <v>98</v>
      </c>
      <c r="AL272" s="93" t="s">
        <v>98</v>
      </c>
      <c r="AM272" s="93" t="s">
        <v>98</v>
      </c>
      <c r="AN272" s="93" t="s">
        <v>98</v>
      </c>
      <c r="AO272" s="93" t="s">
        <v>98</v>
      </c>
      <c r="AP272" s="93" t="str">
        <f>#REF!</f>
        <v>#REF!</v>
      </c>
      <c r="AQ272" s="93" t="s">
        <v>98</v>
      </c>
      <c r="AR272" s="93" t="s">
        <v>98</v>
      </c>
      <c r="AS272" s="95" t="str">
        <f t="shared" si="92"/>
        <v>#VALUE!</v>
      </c>
      <c r="AT272" s="93" t="s">
        <v>98</v>
      </c>
      <c r="AU272" s="93" t="s">
        <v>98</v>
      </c>
      <c r="AV272" s="93" t="s">
        <v>98</v>
      </c>
      <c r="AW272" s="93" t="s">
        <v>98</v>
      </c>
      <c r="AX272" s="93" t="s">
        <v>113</v>
      </c>
      <c r="AY272" s="93" t="str">
        <f>#REF!</f>
        <v>#REF!</v>
      </c>
      <c r="AZ272" s="95">
        <f t="shared" si="91"/>
        <v>46171</v>
      </c>
      <c r="BA272" s="95"/>
    </row>
    <row r="273" ht="30.75" customHeight="1">
      <c r="A273" s="114"/>
      <c r="B273" s="115" t="s">
        <v>82</v>
      </c>
      <c r="C273" s="116" t="s">
        <v>83</v>
      </c>
      <c r="D273" s="114"/>
      <c r="E273" s="117" t="s">
        <v>108</v>
      </c>
      <c r="F273" s="114"/>
      <c r="G273" s="114" t="s">
        <v>86</v>
      </c>
      <c r="H273" s="114" t="s">
        <v>931</v>
      </c>
      <c r="I273" s="114"/>
      <c r="J273" s="114" t="s">
        <v>1013</v>
      </c>
      <c r="K273" s="114" t="s">
        <v>902</v>
      </c>
      <c r="L273" s="114" t="s">
        <v>1023</v>
      </c>
      <c r="M273" s="114">
        <v>4022647.0</v>
      </c>
      <c r="N273" s="114"/>
      <c r="O273" s="114"/>
      <c r="P273" s="117">
        <v>12.0</v>
      </c>
      <c r="Q273" s="117">
        <v>1.0</v>
      </c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>
        <v>1.0</v>
      </c>
      <c r="AC273" s="114">
        <v>1.0</v>
      </c>
      <c r="AD273" s="114"/>
      <c r="AE273" s="114"/>
      <c r="AF273" s="114"/>
      <c r="AG273" s="114"/>
      <c r="AH273" s="114"/>
      <c r="AI273" s="114"/>
      <c r="AJ273" s="114"/>
      <c r="AK273" s="114"/>
      <c r="AL273" s="114"/>
      <c r="AM273" s="114"/>
      <c r="AN273" s="114"/>
      <c r="AO273" s="114"/>
      <c r="AP273" s="114"/>
      <c r="AQ273" s="118" t="s">
        <v>95</v>
      </c>
      <c r="AR273" s="118" t="s">
        <v>95</v>
      </c>
      <c r="AS273" s="118" t="str">
        <f t="shared" si="92"/>
        <v>#VALUE!</v>
      </c>
      <c r="AT273" s="114" t="s">
        <v>1055</v>
      </c>
      <c r="AU273" s="114"/>
      <c r="AV273" s="114"/>
      <c r="AW273" s="114"/>
      <c r="AX273" s="118"/>
      <c r="AY273" s="114"/>
      <c r="AZ273" s="118">
        <f t="shared" si="91"/>
        <v>46171</v>
      </c>
      <c r="BA273" s="118"/>
    </row>
    <row r="274" ht="30.75" customHeight="1">
      <c r="A274" s="114"/>
      <c r="B274" s="115" t="s">
        <v>82</v>
      </c>
      <c r="C274" s="116" t="s">
        <v>83</v>
      </c>
      <c r="D274" s="114"/>
      <c r="E274" s="117" t="s">
        <v>108</v>
      </c>
      <c r="F274" s="114"/>
      <c r="G274" s="114" t="s">
        <v>86</v>
      </c>
      <c r="H274" s="114" t="s">
        <v>98</v>
      </c>
      <c r="I274" s="114"/>
      <c r="J274" s="114" t="s">
        <v>1013</v>
      </c>
      <c r="K274" s="114" t="s">
        <v>902</v>
      </c>
      <c r="L274" s="114" t="s">
        <v>1023</v>
      </c>
      <c r="M274" s="114">
        <v>1.7504443E7</v>
      </c>
      <c r="N274" s="114"/>
      <c r="O274" s="114"/>
      <c r="P274" s="117">
        <v>12.0</v>
      </c>
      <c r="Q274" s="117">
        <v>1.0</v>
      </c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>
        <v>1.0</v>
      </c>
      <c r="AC274" s="114">
        <v>1.0</v>
      </c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8" t="s">
        <v>95</v>
      </c>
      <c r="AR274" s="118" t="s">
        <v>95</v>
      </c>
      <c r="AS274" s="118" t="str">
        <f t="shared" si="92"/>
        <v>#VALUE!</v>
      </c>
      <c r="AT274" s="114" t="s">
        <v>1056</v>
      </c>
      <c r="AU274" s="114"/>
      <c r="AV274" s="114"/>
      <c r="AW274" s="114"/>
      <c r="AX274" s="118"/>
      <c r="AY274" s="114"/>
      <c r="AZ274" s="118">
        <f t="shared" si="91"/>
        <v>46171</v>
      </c>
      <c r="BA274" s="118"/>
    </row>
    <row r="275" ht="30.75" customHeight="1">
      <c r="A275" s="93"/>
      <c r="B275" s="94" t="s">
        <v>82</v>
      </c>
      <c r="C275" s="94" t="s">
        <v>83</v>
      </c>
      <c r="D275" s="93">
        <v>13.0</v>
      </c>
      <c r="E275" s="93" t="s">
        <v>336</v>
      </c>
      <c r="F275" s="93" t="s">
        <v>98</v>
      </c>
      <c r="G275" s="93" t="s">
        <v>86</v>
      </c>
      <c r="H275" s="93" t="s">
        <v>1057</v>
      </c>
      <c r="I275" s="93" t="s">
        <v>88</v>
      </c>
      <c r="J275" s="93" t="s">
        <v>1058</v>
      </c>
      <c r="K275" s="93" t="s">
        <v>902</v>
      </c>
      <c r="L275" s="93" t="s">
        <v>1040</v>
      </c>
      <c r="M275" s="93">
        <v>1.0192705E7</v>
      </c>
      <c r="N275" s="93" t="s">
        <v>920</v>
      </c>
      <c r="O275" s="93" t="s">
        <v>678</v>
      </c>
      <c r="P275" s="93">
        <v>12.0</v>
      </c>
      <c r="Q275" s="93" t="s">
        <v>98</v>
      </c>
      <c r="R275" s="93" t="s">
        <v>98</v>
      </c>
      <c r="S275" s="93" t="s">
        <v>98</v>
      </c>
      <c r="T275" s="93" t="s">
        <v>98</v>
      </c>
      <c r="U275" s="93" t="s">
        <v>98</v>
      </c>
      <c r="V275" s="93" t="s">
        <v>98</v>
      </c>
      <c r="W275" s="93" t="s">
        <v>98</v>
      </c>
      <c r="X275" s="93" t="s">
        <v>98</v>
      </c>
      <c r="Y275" s="93" t="s">
        <v>98</v>
      </c>
      <c r="Z275" s="93" t="s">
        <v>98</v>
      </c>
      <c r="AA275" s="93" t="s">
        <v>98</v>
      </c>
      <c r="AB275" s="93" t="s">
        <v>98</v>
      </c>
      <c r="AC275" s="93" t="s">
        <v>98</v>
      </c>
      <c r="AD275" s="93" t="s">
        <v>98</v>
      </c>
      <c r="AE275" s="93" t="s">
        <v>98</v>
      </c>
      <c r="AF275" s="93" t="s">
        <v>98</v>
      </c>
      <c r="AG275" s="93" t="s">
        <v>98</v>
      </c>
      <c r="AH275" s="93" t="s">
        <v>98</v>
      </c>
      <c r="AI275" s="93" t="s">
        <v>98</v>
      </c>
      <c r="AJ275" s="93" t="s">
        <v>98</v>
      </c>
      <c r="AK275" s="93" t="s">
        <v>98</v>
      </c>
      <c r="AL275" s="93" t="s">
        <v>98</v>
      </c>
      <c r="AM275" s="93" t="s">
        <v>98</v>
      </c>
      <c r="AN275" s="93" t="s">
        <v>98</v>
      </c>
      <c r="AO275" s="93" t="s">
        <v>98</v>
      </c>
      <c r="AP275" s="93" t="str">
        <f>#REF!</f>
        <v>#REF!</v>
      </c>
      <c r="AQ275" s="93" t="s">
        <v>98</v>
      </c>
      <c r="AR275" s="93" t="s">
        <v>98</v>
      </c>
      <c r="AS275" s="95" t="str">
        <f t="shared" si="92"/>
        <v>#VALUE!</v>
      </c>
      <c r="AT275" s="93" t="s">
        <v>98</v>
      </c>
      <c r="AU275" s="93" t="s">
        <v>98</v>
      </c>
      <c r="AV275" s="93" t="s">
        <v>98</v>
      </c>
      <c r="AW275" s="93" t="s">
        <v>98</v>
      </c>
      <c r="AX275" s="93" t="s">
        <v>113</v>
      </c>
      <c r="AY275" s="93" t="str">
        <f t="shared" ref="AY275:AY294" si="95">#REF!</f>
        <v>#REF!</v>
      </c>
      <c r="AZ275" s="95">
        <f t="shared" si="91"/>
        <v>46171</v>
      </c>
      <c r="BA275" s="95"/>
    </row>
    <row r="276" ht="30.75" customHeight="1">
      <c r="A276" s="93"/>
      <c r="B276" s="94"/>
      <c r="C276" s="93" t="s">
        <v>206</v>
      </c>
      <c r="D276" s="93">
        <v>1.0</v>
      </c>
      <c r="E276" s="93" t="s">
        <v>84</v>
      </c>
      <c r="F276" s="93" t="s">
        <v>98</v>
      </c>
      <c r="G276" s="93" t="s">
        <v>672</v>
      </c>
      <c r="H276" s="93" t="s">
        <v>1059</v>
      </c>
      <c r="I276" s="93" t="s">
        <v>1060</v>
      </c>
      <c r="J276" s="93" t="s">
        <v>1061</v>
      </c>
      <c r="K276" s="93" t="s">
        <v>1062</v>
      </c>
      <c r="L276" s="93" t="s">
        <v>1063</v>
      </c>
      <c r="M276" s="93" t="s">
        <v>1062</v>
      </c>
      <c r="N276" s="93" t="s">
        <v>123</v>
      </c>
      <c r="O276" s="93" t="s">
        <v>124</v>
      </c>
      <c r="P276" s="93">
        <v>4.0</v>
      </c>
      <c r="Q276" s="93">
        <v>4.0</v>
      </c>
      <c r="R276" s="93"/>
      <c r="S276" s="93"/>
      <c r="T276" s="93"/>
      <c r="U276" s="93"/>
      <c r="V276" s="93"/>
      <c r="W276" s="93"/>
      <c r="X276" s="93" t="s">
        <v>1064</v>
      </c>
      <c r="Y276" s="93" t="s">
        <v>1064</v>
      </c>
      <c r="Z276" s="93"/>
      <c r="AA276" s="93"/>
      <c r="AB276" s="93"/>
      <c r="AC276" s="93"/>
      <c r="AD276" s="93"/>
      <c r="AE276" s="93"/>
      <c r="AF276" s="93" t="s">
        <v>1064</v>
      </c>
      <c r="AG276" s="93" t="s">
        <v>1064</v>
      </c>
      <c r="AH276" s="93"/>
      <c r="AI276" s="93"/>
      <c r="AJ276" s="93"/>
      <c r="AK276" s="93"/>
      <c r="AL276" s="93"/>
      <c r="AM276" s="93"/>
      <c r="AN276" s="93" t="s">
        <v>1064</v>
      </c>
      <c r="AO276" s="93" t="s">
        <v>1064</v>
      </c>
      <c r="AP276" s="93"/>
      <c r="AQ276" s="93" t="s">
        <v>214</v>
      </c>
      <c r="AR276" s="93" t="s">
        <v>214</v>
      </c>
      <c r="AS276" s="95" t="str">
        <f t="shared" ref="AS276:AS294" si="96">DATE(YEAR(AQ276),MONTH(AQ276)+Q276,DAY(AQ276))</f>
        <v>#VALUE!</v>
      </c>
      <c r="AT276" s="93"/>
      <c r="AU276" s="103"/>
      <c r="AV276" s="93"/>
      <c r="AW276" s="103"/>
      <c r="AX276" s="93" t="s">
        <v>99</v>
      </c>
      <c r="AY276" s="93" t="str">
        <f t="shared" si="95"/>
        <v>#REF!</v>
      </c>
      <c r="AZ276" s="95">
        <f t="shared" si="91"/>
        <v>46171</v>
      </c>
      <c r="BA276" s="93"/>
    </row>
    <row r="277" ht="30.75" customHeight="1">
      <c r="A277" s="93"/>
      <c r="B277" s="94"/>
      <c r="C277" s="93" t="s">
        <v>206</v>
      </c>
      <c r="D277" s="93">
        <v>2.0</v>
      </c>
      <c r="E277" s="93" t="s">
        <v>84</v>
      </c>
      <c r="F277" s="93" t="s">
        <v>98</v>
      </c>
      <c r="G277" s="93" t="s">
        <v>672</v>
      </c>
      <c r="H277" s="93" t="s">
        <v>1065</v>
      </c>
      <c r="I277" s="93" t="s">
        <v>1060</v>
      </c>
      <c r="J277" s="93" t="s">
        <v>1066</v>
      </c>
      <c r="K277" s="93" t="s">
        <v>1062</v>
      </c>
      <c r="L277" s="93" t="s">
        <v>1063</v>
      </c>
      <c r="M277" s="93" t="s">
        <v>1062</v>
      </c>
      <c r="N277" s="93" t="s">
        <v>123</v>
      </c>
      <c r="O277" s="93" t="s">
        <v>124</v>
      </c>
      <c r="P277" s="93">
        <v>4.0</v>
      </c>
      <c r="Q277" s="93">
        <v>4.0</v>
      </c>
      <c r="R277" s="93"/>
      <c r="S277" s="93"/>
      <c r="T277" s="93"/>
      <c r="U277" s="93"/>
      <c r="V277" s="93"/>
      <c r="W277" s="93"/>
      <c r="X277" s="93" t="s">
        <v>1064</v>
      </c>
      <c r="Y277" s="93" t="s">
        <v>1064</v>
      </c>
      <c r="Z277" s="93"/>
      <c r="AA277" s="93"/>
      <c r="AB277" s="93"/>
      <c r="AC277" s="93"/>
      <c r="AD277" s="93"/>
      <c r="AE277" s="93"/>
      <c r="AF277" s="93" t="s">
        <v>1064</v>
      </c>
      <c r="AG277" s="93" t="s">
        <v>1064</v>
      </c>
      <c r="AH277" s="93"/>
      <c r="AI277" s="93"/>
      <c r="AJ277" s="93"/>
      <c r="AK277" s="93"/>
      <c r="AL277" s="93"/>
      <c r="AM277" s="93"/>
      <c r="AN277" s="93" t="s">
        <v>1064</v>
      </c>
      <c r="AO277" s="93" t="s">
        <v>1064</v>
      </c>
      <c r="AP277" s="93"/>
      <c r="AQ277" s="93" t="s">
        <v>214</v>
      </c>
      <c r="AR277" s="93" t="s">
        <v>214</v>
      </c>
      <c r="AS277" s="95" t="str">
        <f t="shared" si="96"/>
        <v>#VALUE!</v>
      </c>
      <c r="AT277" s="93"/>
      <c r="AU277" s="103"/>
      <c r="AV277" s="93"/>
      <c r="AW277" s="103"/>
      <c r="AX277" s="93" t="s">
        <v>99</v>
      </c>
      <c r="AY277" s="93" t="str">
        <f t="shared" si="95"/>
        <v>#REF!</v>
      </c>
      <c r="AZ277" s="95">
        <f t="shared" si="91"/>
        <v>46171</v>
      </c>
      <c r="BA277" s="93"/>
    </row>
    <row r="278" ht="30.75" customHeight="1">
      <c r="A278" s="93"/>
      <c r="B278" s="94"/>
      <c r="C278" s="93" t="s">
        <v>206</v>
      </c>
      <c r="D278" s="93">
        <v>3.0</v>
      </c>
      <c r="E278" s="93" t="s">
        <v>84</v>
      </c>
      <c r="F278" s="93" t="s">
        <v>98</v>
      </c>
      <c r="G278" s="93" t="s">
        <v>672</v>
      </c>
      <c r="H278" s="93" t="s">
        <v>1067</v>
      </c>
      <c r="I278" s="93" t="s">
        <v>1068</v>
      </c>
      <c r="J278" s="93" t="s">
        <v>1069</v>
      </c>
      <c r="K278" s="93" t="s">
        <v>1062</v>
      </c>
      <c r="L278" s="93" t="s">
        <v>1063</v>
      </c>
      <c r="M278" s="93" t="s">
        <v>1062</v>
      </c>
      <c r="N278" s="93" t="s">
        <v>123</v>
      </c>
      <c r="O278" s="93" t="s">
        <v>124</v>
      </c>
      <c r="P278" s="93">
        <v>4.0</v>
      </c>
      <c r="Q278" s="93">
        <v>4.0</v>
      </c>
      <c r="R278" s="93"/>
      <c r="S278" s="93"/>
      <c r="T278" s="93"/>
      <c r="U278" s="93"/>
      <c r="V278" s="93"/>
      <c r="W278" s="93"/>
      <c r="X278" s="93" t="s">
        <v>1064</v>
      </c>
      <c r="Y278" s="93" t="s">
        <v>1064</v>
      </c>
      <c r="Z278" s="93"/>
      <c r="AA278" s="93"/>
      <c r="AB278" s="93"/>
      <c r="AC278" s="93"/>
      <c r="AD278" s="93"/>
      <c r="AE278" s="93"/>
      <c r="AF278" s="93" t="s">
        <v>1064</v>
      </c>
      <c r="AG278" s="93" t="s">
        <v>1064</v>
      </c>
      <c r="AH278" s="93"/>
      <c r="AI278" s="93"/>
      <c r="AJ278" s="93"/>
      <c r="AK278" s="93"/>
      <c r="AL278" s="93"/>
      <c r="AM278" s="93"/>
      <c r="AN278" s="93" t="s">
        <v>1064</v>
      </c>
      <c r="AO278" s="93" t="s">
        <v>1064</v>
      </c>
      <c r="AP278" s="93"/>
      <c r="AQ278" s="93" t="s">
        <v>214</v>
      </c>
      <c r="AR278" s="93" t="s">
        <v>214</v>
      </c>
      <c r="AS278" s="95" t="str">
        <f t="shared" si="96"/>
        <v>#VALUE!</v>
      </c>
      <c r="AT278" s="93"/>
      <c r="AU278" s="103"/>
      <c r="AV278" s="93"/>
      <c r="AW278" s="103"/>
      <c r="AX278" s="93" t="s">
        <v>99</v>
      </c>
      <c r="AY278" s="93" t="str">
        <f t="shared" si="95"/>
        <v>#REF!</v>
      </c>
      <c r="AZ278" s="95">
        <f t="shared" si="91"/>
        <v>46171</v>
      </c>
      <c r="BA278" s="93"/>
    </row>
    <row r="279" ht="30.75" customHeight="1">
      <c r="A279" s="93"/>
      <c r="B279" s="94"/>
      <c r="C279" s="93" t="s">
        <v>206</v>
      </c>
      <c r="D279" s="93">
        <v>4.0</v>
      </c>
      <c r="E279" s="93" t="s">
        <v>84</v>
      </c>
      <c r="F279" s="93" t="s">
        <v>98</v>
      </c>
      <c r="G279" s="93" t="s">
        <v>672</v>
      </c>
      <c r="H279" s="93" t="s">
        <v>1070</v>
      </c>
      <c r="I279" s="93" t="s">
        <v>1068</v>
      </c>
      <c r="J279" s="93" t="s">
        <v>1071</v>
      </c>
      <c r="K279" s="93" t="s">
        <v>93</v>
      </c>
      <c r="L279" s="93" t="s">
        <v>1072</v>
      </c>
      <c r="M279" s="93" t="s">
        <v>93</v>
      </c>
      <c r="N279" s="93" t="s">
        <v>123</v>
      </c>
      <c r="O279" s="93" t="s">
        <v>124</v>
      </c>
      <c r="P279" s="93">
        <v>6.0</v>
      </c>
      <c r="Q279" s="93">
        <v>6.0</v>
      </c>
      <c r="R279" s="93"/>
      <c r="S279" s="93"/>
      <c r="T279" s="93"/>
      <c r="U279" s="93"/>
      <c r="V279" s="93" t="s">
        <v>1064</v>
      </c>
      <c r="W279" s="93" t="s">
        <v>1064</v>
      </c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 t="s">
        <v>1064</v>
      </c>
      <c r="AI279" s="93" t="s">
        <v>1064</v>
      </c>
      <c r="AJ279" s="93"/>
      <c r="AK279" s="93"/>
      <c r="AL279" s="93"/>
      <c r="AM279" s="93"/>
      <c r="AN279" s="93"/>
      <c r="AO279" s="93"/>
      <c r="AP279" s="93"/>
      <c r="AQ279" s="93" t="s">
        <v>214</v>
      </c>
      <c r="AR279" s="93" t="s">
        <v>214</v>
      </c>
      <c r="AS279" s="95" t="str">
        <f t="shared" si="96"/>
        <v>#VALUE!</v>
      </c>
      <c r="AT279" s="93"/>
      <c r="AU279" s="103"/>
      <c r="AV279" s="93"/>
      <c r="AW279" s="103"/>
      <c r="AX279" s="93" t="s">
        <v>99</v>
      </c>
      <c r="AY279" s="93" t="str">
        <f t="shared" si="95"/>
        <v>#REF!</v>
      </c>
      <c r="AZ279" s="95">
        <f t="shared" si="91"/>
        <v>46171</v>
      </c>
      <c r="BA279" s="93"/>
    </row>
    <row r="280" ht="30.75" customHeight="1">
      <c r="A280" s="93"/>
      <c r="B280" s="94"/>
      <c r="C280" s="93" t="s">
        <v>206</v>
      </c>
      <c r="D280" s="93">
        <v>5.0</v>
      </c>
      <c r="E280" s="93" t="s">
        <v>84</v>
      </c>
      <c r="F280" s="93"/>
      <c r="G280" s="93" t="s">
        <v>672</v>
      </c>
      <c r="H280" s="93" t="s">
        <v>98</v>
      </c>
      <c r="I280" s="93" t="s">
        <v>1068</v>
      </c>
      <c r="J280" s="93" t="s">
        <v>1073</v>
      </c>
      <c r="K280" s="93" t="s">
        <v>93</v>
      </c>
      <c r="L280" s="93" t="s">
        <v>1072</v>
      </c>
      <c r="M280" s="93" t="s">
        <v>93</v>
      </c>
      <c r="N280" s="93" t="s">
        <v>123</v>
      </c>
      <c r="O280" s="93" t="s">
        <v>124</v>
      </c>
      <c r="P280" s="93">
        <v>6.0</v>
      </c>
      <c r="Q280" s="93">
        <v>6.0</v>
      </c>
      <c r="R280" s="93"/>
      <c r="S280" s="93"/>
      <c r="T280" s="93"/>
      <c r="U280" s="93"/>
      <c r="V280" s="93" t="s">
        <v>1064</v>
      </c>
      <c r="W280" s="93" t="s">
        <v>1064</v>
      </c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 t="s">
        <v>1064</v>
      </c>
      <c r="AI280" s="93" t="s">
        <v>1064</v>
      </c>
      <c r="AJ280" s="93"/>
      <c r="AK280" s="93"/>
      <c r="AL280" s="93"/>
      <c r="AM280" s="93"/>
      <c r="AN280" s="93"/>
      <c r="AO280" s="93"/>
      <c r="AP280" s="93"/>
      <c r="AQ280" s="93" t="s">
        <v>214</v>
      </c>
      <c r="AR280" s="93" t="s">
        <v>214</v>
      </c>
      <c r="AS280" s="95" t="str">
        <f t="shared" si="96"/>
        <v>#VALUE!</v>
      </c>
      <c r="AT280" s="93"/>
      <c r="AU280" s="103"/>
      <c r="AV280" s="93"/>
      <c r="AW280" s="103"/>
      <c r="AX280" s="93" t="s">
        <v>99</v>
      </c>
      <c r="AY280" s="93" t="str">
        <f t="shared" si="95"/>
        <v>#REF!</v>
      </c>
      <c r="AZ280" s="95">
        <f t="shared" si="91"/>
        <v>46171</v>
      </c>
      <c r="BA280" s="93"/>
    </row>
    <row r="281" ht="30.75" customHeight="1">
      <c r="A281" s="93"/>
      <c r="B281" s="94"/>
      <c r="C281" s="93" t="s">
        <v>206</v>
      </c>
      <c r="D281" s="93">
        <v>6.0</v>
      </c>
      <c r="E281" s="93" t="s">
        <v>84</v>
      </c>
      <c r="F281" s="93" t="s">
        <v>98</v>
      </c>
      <c r="G281" s="93" t="s">
        <v>86</v>
      </c>
      <c r="H281" s="93" t="s">
        <v>1074</v>
      </c>
      <c r="I281" s="93" t="s">
        <v>88</v>
      </c>
      <c r="J281" s="93" t="s">
        <v>1075</v>
      </c>
      <c r="K281" s="93" t="s">
        <v>93</v>
      </c>
      <c r="L281" s="93" t="s">
        <v>1076</v>
      </c>
      <c r="M281" s="93" t="s">
        <v>93</v>
      </c>
      <c r="N281" s="93" t="s">
        <v>123</v>
      </c>
      <c r="O281" s="93" t="s">
        <v>124</v>
      </c>
      <c r="P281" s="93">
        <v>6.0</v>
      </c>
      <c r="Q281" s="93" t="s">
        <v>98</v>
      </c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 t="s">
        <v>214</v>
      </c>
      <c r="AR281" s="93" t="s">
        <v>214</v>
      </c>
      <c r="AS281" s="95" t="str">
        <f t="shared" si="96"/>
        <v>#VALUE!</v>
      </c>
      <c r="AT281" s="93"/>
      <c r="AU281" s="103"/>
      <c r="AV281" s="93"/>
      <c r="AW281" s="103"/>
      <c r="AX281" s="93" t="s">
        <v>99</v>
      </c>
      <c r="AY281" s="93" t="str">
        <f t="shared" si="95"/>
        <v>#REF!</v>
      </c>
      <c r="AZ281" s="95">
        <f t="shared" si="91"/>
        <v>46171</v>
      </c>
      <c r="BA281" s="93"/>
    </row>
    <row r="282" ht="30.75" customHeight="1">
      <c r="A282" s="93"/>
      <c r="B282" s="94"/>
      <c r="C282" s="93" t="s">
        <v>206</v>
      </c>
      <c r="D282" s="93">
        <v>7.0</v>
      </c>
      <c r="E282" s="93" t="s">
        <v>84</v>
      </c>
      <c r="F282" s="93" t="s">
        <v>98</v>
      </c>
      <c r="G282" s="93" t="s">
        <v>86</v>
      </c>
      <c r="H282" s="93" t="s">
        <v>1077</v>
      </c>
      <c r="I282" s="93" t="s">
        <v>88</v>
      </c>
      <c r="J282" s="93" t="s">
        <v>1078</v>
      </c>
      <c r="K282" s="93" t="s">
        <v>93</v>
      </c>
      <c r="L282" s="93" t="s">
        <v>1076</v>
      </c>
      <c r="M282" s="93" t="s">
        <v>93</v>
      </c>
      <c r="N282" s="93" t="s">
        <v>123</v>
      </c>
      <c r="O282" s="93" t="s">
        <v>124</v>
      </c>
      <c r="P282" s="93">
        <v>6.0</v>
      </c>
      <c r="Q282" s="93" t="s">
        <v>98</v>
      </c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 t="s">
        <v>214</v>
      </c>
      <c r="AR282" s="93" t="s">
        <v>214</v>
      </c>
      <c r="AS282" s="95" t="str">
        <f t="shared" si="96"/>
        <v>#VALUE!</v>
      </c>
      <c r="AT282" s="93"/>
      <c r="AU282" s="103"/>
      <c r="AV282" s="93"/>
      <c r="AW282" s="103"/>
      <c r="AX282" s="93" t="s">
        <v>99</v>
      </c>
      <c r="AY282" s="93" t="str">
        <f t="shared" si="95"/>
        <v>#REF!</v>
      </c>
      <c r="AZ282" s="95">
        <f t="shared" si="91"/>
        <v>46171</v>
      </c>
      <c r="BA282" s="93"/>
    </row>
    <row r="283" ht="30.75" customHeight="1">
      <c r="A283" s="93"/>
      <c r="B283" s="94"/>
      <c r="C283" s="93" t="s">
        <v>206</v>
      </c>
      <c r="D283" s="93">
        <v>8.0</v>
      </c>
      <c r="E283" s="93" t="s">
        <v>84</v>
      </c>
      <c r="F283" s="93"/>
      <c r="G283" s="93" t="s">
        <v>86</v>
      </c>
      <c r="H283" s="93" t="s">
        <v>98</v>
      </c>
      <c r="I283" s="93" t="s">
        <v>118</v>
      </c>
      <c r="J283" s="93" t="s">
        <v>1079</v>
      </c>
      <c r="K283" s="93" t="s">
        <v>1080</v>
      </c>
      <c r="L283" s="93" t="s">
        <v>1081</v>
      </c>
      <c r="M283" s="93" t="s">
        <v>1082</v>
      </c>
      <c r="N283" s="93" t="s">
        <v>123</v>
      </c>
      <c r="O283" s="93" t="s">
        <v>124</v>
      </c>
      <c r="P283" s="93">
        <v>3.0</v>
      </c>
      <c r="Q283" s="93">
        <v>3.0</v>
      </c>
      <c r="R283" s="93"/>
      <c r="S283" s="93"/>
      <c r="T283" s="93" t="s">
        <v>1064</v>
      </c>
      <c r="U283" s="93" t="s">
        <v>1064</v>
      </c>
      <c r="V283" s="93"/>
      <c r="W283" s="93"/>
      <c r="X283" s="93"/>
      <c r="Y283" s="93"/>
      <c r="Z283" s="93" t="s">
        <v>1064</v>
      </c>
      <c r="AA283" s="93" t="s">
        <v>1064</v>
      </c>
      <c r="AB283" s="93"/>
      <c r="AC283" s="93"/>
      <c r="AD283" s="93"/>
      <c r="AE283" s="93"/>
      <c r="AF283" s="93" t="s">
        <v>1064</v>
      </c>
      <c r="AG283" s="93" t="s">
        <v>1064</v>
      </c>
      <c r="AH283" s="93"/>
      <c r="AI283" s="93"/>
      <c r="AJ283" s="93"/>
      <c r="AK283" s="93"/>
      <c r="AL283" s="93" t="s">
        <v>1064</v>
      </c>
      <c r="AM283" s="93" t="s">
        <v>1064</v>
      </c>
      <c r="AN283" s="93"/>
      <c r="AO283" s="93"/>
      <c r="AP283" s="93"/>
      <c r="AQ283" s="93" t="s">
        <v>214</v>
      </c>
      <c r="AR283" s="93" t="s">
        <v>214</v>
      </c>
      <c r="AS283" s="95" t="str">
        <f t="shared" si="96"/>
        <v>#VALUE!</v>
      </c>
      <c r="AT283" s="93"/>
      <c r="AU283" s="103"/>
      <c r="AV283" s="93"/>
      <c r="AW283" s="103"/>
      <c r="AX283" s="93" t="s">
        <v>99</v>
      </c>
      <c r="AY283" s="93" t="str">
        <f t="shared" si="95"/>
        <v>#REF!</v>
      </c>
      <c r="AZ283" s="95">
        <f t="shared" si="91"/>
        <v>46171</v>
      </c>
      <c r="BA283" s="93"/>
    </row>
    <row r="284" ht="30.75" customHeight="1">
      <c r="A284" s="93"/>
      <c r="B284" s="94"/>
      <c r="C284" s="93" t="s">
        <v>206</v>
      </c>
      <c r="D284" s="93">
        <v>9.0</v>
      </c>
      <c r="E284" s="93" t="s">
        <v>84</v>
      </c>
      <c r="F284" s="93"/>
      <c r="G284" s="93" t="s">
        <v>86</v>
      </c>
      <c r="H284" s="93" t="s">
        <v>98</v>
      </c>
      <c r="I284" s="93" t="s">
        <v>118</v>
      </c>
      <c r="J284" s="93" t="s">
        <v>1079</v>
      </c>
      <c r="K284" s="93" t="s">
        <v>1080</v>
      </c>
      <c r="L284" s="93" t="s">
        <v>1081</v>
      </c>
      <c r="M284" s="93" t="s">
        <v>1082</v>
      </c>
      <c r="N284" s="93" t="s">
        <v>123</v>
      </c>
      <c r="O284" s="93" t="s">
        <v>124</v>
      </c>
      <c r="P284" s="93">
        <v>3.0</v>
      </c>
      <c r="Q284" s="93">
        <v>3.0</v>
      </c>
      <c r="R284" s="93"/>
      <c r="S284" s="93"/>
      <c r="T284" s="93" t="s">
        <v>1064</v>
      </c>
      <c r="U284" s="93" t="s">
        <v>1064</v>
      </c>
      <c r="V284" s="93"/>
      <c r="W284" s="93"/>
      <c r="X284" s="93"/>
      <c r="Y284" s="93"/>
      <c r="Z284" s="93" t="s">
        <v>1064</v>
      </c>
      <c r="AA284" s="93" t="s">
        <v>1064</v>
      </c>
      <c r="AB284" s="93"/>
      <c r="AC284" s="93"/>
      <c r="AD284" s="93"/>
      <c r="AE284" s="93"/>
      <c r="AF284" s="93" t="s">
        <v>1064</v>
      </c>
      <c r="AG284" s="93" t="s">
        <v>1064</v>
      </c>
      <c r="AH284" s="93"/>
      <c r="AI284" s="93"/>
      <c r="AJ284" s="93"/>
      <c r="AK284" s="93"/>
      <c r="AL284" s="93" t="s">
        <v>1064</v>
      </c>
      <c r="AM284" s="93" t="s">
        <v>1064</v>
      </c>
      <c r="AN284" s="93"/>
      <c r="AO284" s="93"/>
      <c r="AP284" s="93"/>
      <c r="AQ284" s="93" t="s">
        <v>214</v>
      </c>
      <c r="AR284" s="93" t="s">
        <v>214</v>
      </c>
      <c r="AS284" s="95" t="str">
        <f t="shared" si="96"/>
        <v>#VALUE!</v>
      </c>
      <c r="AT284" s="93"/>
      <c r="AU284" s="103"/>
      <c r="AV284" s="93"/>
      <c r="AW284" s="103"/>
      <c r="AX284" s="93" t="s">
        <v>99</v>
      </c>
      <c r="AY284" s="93" t="str">
        <f t="shared" si="95"/>
        <v>#REF!</v>
      </c>
      <c r="AZ284" s="95">
        <f t="shared" si="91"/>
        <v>46171</v>
      </c>
      <c r="BA284" s="93"/>
    </row>
    <row r="285" ht="30.75" customHeight="1">
      <c r="A285" s="93"/>
      <c r="B285" s="94"/>
      <c r="C285" s="93" t="s">
        <v>206</v>
      </c>
      <c r="D285" s="93">
        <v>10.0</v>
      </c>
      <c r="E285" s="93" t="s">
        <v>84</v>
      </c>
      <c r="F285" s="93"/>
      <c r="G285" s="93" t="s">
        <v>86</v>
      </c>
      <c r="H285" s="93" t="s">
        <v>98</v>
      </c>
      <c r="I285" s="93" t="s">
        <v>118</v>
      </c>
      <c r="J285" s="93" t="s">
        <v>1079</v>
      </c>
      <c r="K285" s="93" t="s">
        <v>1080</v>
      </c>
      <c r="L285" s="93" t="s">
        <v>1081</v>
      </c>
      <c r="M285" s="93" t="s">
        <v>1082</v>
      </c>
      <c r="N285" s="93" t="s">
        <v>123</v>
      </c>
      <c r="O285" s="93" t="s">
        <v>124</v>
      </c>
      <c r="P285" s="93">
        <v>3.0</v>
      </c>
      <c r="Q285" s="93">
        <v>3.0</v>
      </c>
      <c r="R285" s="93"/>
      <c r="S285" s="93"/>
      <c r="T285" s="93" t="s">
        <v>1064</v>
      </c>
      <c r="U285" s="93" t="s">
        <v>1064</v>
      </c>
      <c r="V285" s="93"/>
      <c r="W285" s="93"/>
      <c r="X285" s="93"/>
      <c r="Y285" s="93"/>
      <c r="Z285" s="93" t="s">
        <v>1064</v>
      </c>
      <c r="AA285" s="93" t="s">
        <v>1064</v>
      </c>
      <c r="AB285" s="93"/>
      <c r="AC285" s="93"/>
      <c r="AD285" s="93"/>
      <c r="AE285" s="93"/>
      <c r="AF285" s="93" t="s">
        <v>1064</v>
      </c>
      <c r="AG285" s="93" t="s">
        <v>1064</v>
      </c>
      <c r="AH285" s="93"/>
      <c r="AI285" s="93"/>
      <c r="AJ285" s="93"/>
      <c r="AK285" s="93"/>
      <c r="AL285" s="93" t="s">
        <v>1064</v>
      </c>
      <c r="AM285" s="93" t="s">
        <v>1064</v>
      </c>
      <c r="AN285" s="93"/>
      <c r="AO285" s="93"/>
      <c r="AP285" s="93"/>
      <c r="AQ285" s="93" t="s">
        <v>214</v>
      </c>
      <c r="AR285" s="93" t="s">
        <v>214</v>
      </c>
      <c r="AS285" s="95" t="str">
        <f t="shared" si="96"/>
        <v>#VALUE!</v>
      </c>
      <c r="AT285" s="93"/>
      <c r="AU285" s="103"/>
      <c r="AV285" s="93"/>
      <c r="AW285" s="103"/>
      <c r="AX285" s="93" t="s">
        <v>99</v>
      </c>
      <c r="AY285" s="93" t="str">
        <f t="shared" si="95"/>
        <v>#REF!</v>
      </c>
      <c r="AZ285" s="95">
        <f t="shared" si="91"/>
        <v>46171</v>
      </c>
      <c r="BA285" s="93"/>
    </row>
    <row r="286" ht="30.75" customHeight="1">
      <c r="A286" s="93"/>
      <c r="B286" s="94"/>
      <c r="C286" s="93" t="s">
        <v>206</v>
      </c>
      <c r="D286" s="93">
        <v>11.0</v>
      </c>
      <c r="E286" s="93" t="s">
        <v>84</v>
      </c>
      <c r="F286" s="93"/>
      <c r="G286" s="93" t="s">
        <v>86</v>
      </c>
      <c r="H286" s="93" t="s">
        <v>98</v>
      </c>
      <c r="I286" s="93" t="s">
        <v>118</v>
      </c>
      <c r="J286" s="93" t="s">
        <v>1079</v>
      </c>
      <c r="K286" s="93" t="s">
        <v>1080</v>
      </c>
      <c r="L286" s="93" t="s">
        <v>1081</v>
      </c>
      <c r="M286" s="93" t="s">
        <v>1082</v>
      </c>
      <c r="N286" s="93" t="s">
        <v>123</v>
      </c>
      <c r="O286" s="93" t="s">
        <v>124</v>
      </c>
      <c r="P286" s="93">
        <v>3.0</v>
      </c>
      <c r="Q286" s="93">
        <v>3.0</v>
      </c>
      <c r="R286" s="93"/>
      <c r="S286" s="93"/>
      <c r="T286" s="93" t="s">
        <v>1064</v>
      </c>
      <c r="U286" s="93" t="s">
        <v>1064</v>
      </c>
      <c r="V286" s="93"/>
      <c r="W286" s="93"/>
      <c r="X286" s="93"/>
      <c r="Y286" s="93"/>
      <c r="Z286" s="93" t="s">
        <v>1064</v>
      </c>
      <c r="AA286" s="93" t="s">
        <v>1064</v>
      </c>
      <c r="AB286" s="93"/>
      <c r="AC286" s="93"/>
      <c r="AD286" s="93"/>
      <c r="AE286" s="93"/>
      <c r="AF286" s="93" t="s">
        <v>1064</v>
      </c>
      <c r="AG286" s="93" t="s">
        <v>1064</v>
      </c>
      <c r="AH286" s="93"/>
      <c r="AI286" s="93"/>
      <c r="AJ286" s="93"/>
      <c r="AK286" s="93"/>
      <c r="AL286" s="93" t="s">
        <v>1064</v>
      </c>
      <c r="AM286" s="93" t="s">
        <v>1064</v>
      </c>
      <c r="AN286" s="93"/>
      <c r="AO286" s="93"/>
      <c r="AP286" s="93"/>
      <c r="AQ286" s="93" t="s">
        <v>214</v>
      </c>
      <c r="AR286" s="93" t="s">
        <v>214</v>
      </c>
      <c r="AS286" s="95" t="str">
        <f t="shared" si="96"/>
        <v>#VALUE!</v>
      </c>
      <c r="AT286" s="93"/>
      <c r="AU286" s="103"/>
      <c r="AV286" s="93"/>
      <c r="AW286" s="103"/>
      <c r="AX286" s="93" t="s">
        <v>99</v>
      </c>
      <c r="AY286" s="93" t="str">
        <f t="shared" si="95"/>
        <v>#REF!</v>
      </c>
      <c r="AZ286" s="95">
        <f t="shared" si="91"/>
        <v>46171</v>
      </c>
      <c r="BA286" s="93"/>
    </row>
    <row r="287" ht="30.75" customHeight="1">
      <c r="A287" s="93"/>
      <c r="B287" s="94"/>
      <c r="C287" s="93" t="s">
        <v>206</v>
      </c>
      <c r="D287" s="93">
        <v>12.0</v>
      </c>
      <c r="E287" s="93" t="s">
        <v>84</v>
      </c>
      <c r="F287" s="93"/>
      <c r="G287" s="93" t="s">
        <v>86</v>
      </c>
      <c r="H287" s="93" t="s">
        <v>98</v>
      </c>
      <c r="I287" s="93" t="s">
        <v>118</v>
      </c>
      <c r="J287" s="93" t="s">
        <v>1079</v>
      </c>
      <c r="K287" s="93" t="s">
        <v>1080</v>
      </c>
      <c r="L287" s="93" t="s">
        <v>1081</v>
      </c>
      <c r="M287" s="93" t="s">
        <v>1082</v>
      </c>
      <c r="N287" s="93" t="s">
        <v>123</v>
      </c>
      <c r="O287" s="93" t="s">
        <v>124</v>
      </c>
      <c r="P287" s="93">
        <v>3.0</v>
      </c>
      <c r="Q287" s="93">
        <v>3.0</v>
      </c>
      <c r="R287" s="93"/>
      <c r="S287" s="93"/>
      <c r="T287" s="93" t="s">
        <v>1064</v>
      </c>
      <c r="U287" s="93" t="s">
        <v>1064</v>
      </c>
      <c r="V287" s="93"/>
      <c r="W287" s="93"/>
      <c r="X287" s="93"/>
      <c r="Y287" s="93"/>
      <c r="Z287" s="93" t="s">
        <v>1064</v>
      </c>
      <c r="AA287" s="93" t="s">
        <v>1064</v>
      </c>
      <c r="AB287" s="93"/>
      <c r="AC287" s="93"/>
      <c r="AD287" s="93"/>
      <c r="AE287" s="93"/>
      <c r="AF287" s="93" t="s">
        <v>1064</v>
      </c>
      <c r="AG287" s="93" t="s">
        <v>1064</v>
      </c>
      <c r="AH287" s="93"/>
      <c r="AI287" s="93"/>
      <c r="AJ287" s="93"/>
      <c r="AK287" s="93"/>
      <c r="AL287" s="93" t="s">
        <v>1064</v>
      </c>
      <c r="AM287" s="93" t="s">
        <v>1064</v>
      </c>
      <c r="AN287" s="93"/>
      <c r="AO287" s="93"/>
      <c r="AP287" s="93"/>
      <c r="AQ287" s="93" t="s">
        <v>214</v>
      </c>
      <c r="AR287" s="93" t="s">
        <v>214</v>
      </c>
      <c r="AS287" s="95" t="str">
        <f t="shared" si="96"/>
        <v>#VALUE!</v>
      </c>
      <c r="AT287" s="93"/>
      <c r="AU287" s="103"/>
      <c r="AV287" s="93"/>
      <c r="AW287" s="103"/>
      <c r="AX287" s="93" t="s">
        <v>99</v>
      </c>
      <c r="AY287" s="93" t="str">
        <f t="shared" si="95"/>
        <v>#REF!</v>
      </c>
      <c r="AZ287" s="95">
        <f t="shared" si="91"/>
        <v>46171</v>
      </c>
      <c r="BA287" s="93"/>
    </row>
    <row r="288" ht="30.75" customHeight="1">
      <c r="A288" s="93"/>
      <c r="B288" s="94"/>
      <c r="C288" s="93" t="s">
        <v>206</v>
      </c>
      <c r="D288" s="93">
        <v>13.0</v>
      </c>
      <c r="E288" s="93" t="s">
        <v>84</v>
      </c>
      <c r="F288" s="93" t="s">
        <v>98</v>
      </c>
      <c r="G288" s="93" t="s">
        <v>86</v>
      </c>
      <c r="H288" s="93" t="s">
        <v>1083</v>
      </c>
      <c r="I288" s="93" t="s">
        <v>88</v>
      </c>
      <c r="J288" s="93" t="s">
        <v>1084</v>
      </c>
      <c r="K288" s="93" t="s">
        <v>1085</v>
      </c>
      <c r="L288" s="93" t="s">
        <v>1086</v>
      </c>
      <c r="M288" s="93" t="s">
        <v>1062</v>
      </c>
      <c r="N288" s="93" t="s">
        <v>123</v>
      </c>
      <c r="O288" s="93" t="s">
        <v>124</v>
      </c>
      <c r="P288" s="93">
        <v>12.0</v>
      </c>
      <c r="Q288" s="93">
        <v>12.0</v>
      </c>
      <c r="R288" s="93" t="s">
        <v>1064</v>
      </c>
      <c r="S288" s="93" t="s">
        <v>1064</v>
      </c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 t="s">
        <v>214</v>
      </c>
      <c r="AR288" s="93" t="s">
        <v>214</v>
      </c>
      <c r="AS288" s="95" t="str">
        <f t="shared" si="96"/>
        <v>#VALUE!</v>
      </c>
      <c r="AT288" s="93"/>
      <c r="AU288" s="103"/>
      <c r="AV288" s="93"/>
      <c r="AW288" s="103"/>
      <c r="AX288" s="93" t="s">
        <v>99</v>
      </c>
      <c r="AY288" s="93" t="str">
        <f t="shared" si="95"/>
        <v>#REF!</v>
      </c>
      <c r="AZ288" s="95">
        <f t="shared" si="91"/>
        <v>46171</v>
      </c>
      <c r="BA288" s="93"/>
    </row>
    <row r="289" ht="30.75" customHeight="1">
      <c r="A289" s="93"/>
      <c r="B289" s="94"/>
      <c r="C289" s="93" t="s">
        <v>206</v>
      </c>
      <c r="D289" s="93">
        <v>14.0</v>
      </c>
      <c r="E289" s="93" t="s">
        <v>84</v>
      </c>
      <c r="F289" s="93" t="s">
        <v>166</v>
      </c>
      <c r="G289" s="93" t="s">
        <v>86</v>
      </c>
      <c r="H289" s="93" t="s">
        <v>1087</v>
      </c>
      <c r="I289" s="93" t="s">
        <v>88</v>
      </c>
      <c r="J289" s="93" t="s">
        <v>1084</v>
      </c>
      <c r="K289" s="93" t="s">
        <v>1085</v>
      </c>
      <c r="L289" s="93" t="s">
        <v>1086</v>
      </c>
      <c r="M289" s="93" t="s">
        <v>1062</v>
      </c>
      <c r="N289" s="93" t="s">
        <v>123</v>
      </c>
      <c r="O289" s="93" t="s">
        <v>124</v>
      </c>
      <c r="P289" s="93">
        <v>12.0</v>
      </c>
      <c r="Q289" s="93">
        <v>12.0</v>
      </c>
      <c r="R289" s="93" t="s">
        <v>1064</v>
      </c>
      <c r="S289" s="93" t="s">
        <v>1064</v>
      </c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 t="s">
        <v>214</v>
      </c>
      <c r="AR289" s="93" t="s">
        <v>214</v>
      </c>
      <c r="AS289" s="95" t="str">
        <f t="shared" si="96"/>
        <v>#VALUE!</v>
      </c>
      <c r="AT289" s="93"/>
      <c r="AU289" s="103"/>
      <c r="AV289" s="93"/>
      <c r="AW289" s="103"/>
      <c r="AX289" s="93" t="s">
        <v>99</v>
      </c>
      <c r="AY289" s="93" t="str">
        <f t="shared" si="95"/>
        <v>#REF!</v>
      </c>
      <c r="AZ289" s="95">
        <f t="shared" si="91"/>
        <v>46171</v>
      </c>
      <c r="BA289" s="93"/>
    </row>
    <row r="290" ht="30.75" customHeight="1">
      <c r="A290" s="93"/>
      <c r="B290" s="94"/>
      <c r="C290" s="93" t="s">
        <v>206</v>
      </c>
      <c r="D290" s="93">
        <v>15.0</v>
      </c>
      <c r="E290" s="93" t="s">
        <v>84</v>
      </c>
      <c r="F290" s="93" t="s">
        <v>98</v>
      </c>
      <c r="G290" s="93" t="s">
        <v>86</v>
      </c>
      <c r="H290" s="93" t="s">
        <v>1088</v>
      </c>
      <c r="I290" s="93" t="s">
        <v>88</v>
      </c>
      <c r="J290" s="93" t="s">
        <v>1084</v>
      </c>
      <c r="K290" s="93" t="s">
        <v>1085</v>
      </c>
      <c r="L290" s="93" t="s">
        <v>1086</v>
      </c>
      <c r="M290" s="93" t="s">
        <v>1062</v>
      </c>
      <c r="N290" s="93" t="s">
        <v>123</v>
      </c>
      <c r="O290" s="93" t="s">
        <v>124</v>
      </c>
      <c r="P290" s="93">
        <v>12.0</v>
      </c>
      <c r="Q290" s="93">
        <v>12.0</v>
      </c>
      <c r="R290" s="93" t="s">
        <v>1064</v>
      </c>
      <c r="S290" s="93" t="s">
        <v>1064</v>
      </c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 t="s">
        <v>214</v>
      </c>
      <c r="AR290" s="93" t="s">
        <v>214</v>
      </c>
      <c r="AS290" s="95" t="str">
        <f t="shared" si="96"/>
        <v>#VALUE!</v>
      </c>
      <c r="AT290" s="93"/>
      <c r="AU290" s="103"/>
      <c r="AV290" s="93"/>
      <c r="AW290" s="103"/>
      <c r="AX290" s="93" t="s">
        <v>99</v>
      </c>
      <c r="AY290" s="93" t="str">
        <f t="shared" si="95"/>
        <v>#REF!</v>
      </c>
      <c r="AZ290" s="95">
        <f t="shared" si="91"/>
        <v>46171</v>
      </c>
      <c r="BA290" s="93"/>
    </row>
    <row r="291" ht="30.75" customHeight="1">
      <c r="A291" s="93"/>
      <c r="B291" s="94"/>
      <c r="C291" s="93" t="s">
        <v>206</v>
      </c>
      <c r="D291" s="93">
        <v>16.0</v>
      </c>
      <c r="E291" s="93" t="s">
        <v>84</v>
      </c>
      <c r="F291" s="93" t="s">
        <v>98</v>
      </c>
      <c r="G291" s="93" t="s">
        <v>86</v>
      </c>
      <c r="H291" s="93" t="s">
        <v>1089</v>
      </c>
      <c r="I291" s="93" t="s">
        <v>88</v>
      </c>
      <c r="J291" s="93" t="s">
        <v>1090</v>
      </c>
      <c r="K291" s="93" t="s">
        <v>1085</v>
      </c>
      <c r="L291" s="93" t="s">
        <v>1091</v>
      </c>
      <c r="M291" s="93" t="s">
        <v>1062</v>
      </c>
      <c r="N291" s="93" t="s">
        <v>123</v>
      </c>
      <c r="O291" s="93" t="s">
        <v>124</v>
      </c>
      <c r="P291" s="93">
        <v>12.0</v>
      </c>
      <c r="Q291" s="93">
        <v>12.0</v>
      </c>
      <c r="R291" s="93" t="s">
        <v>1064</v>
      </c>
      <c r="S291" s="93" t="s">
        <v>1064</v>
      </c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 t="s">
        <v>214</v>
      </c>
      <c r="AR291" s="93" t="s">
        <v>214</v>
      </c>
      <c r="AS291" s="95" t="str">
        <f t="shared" si="96"/>
        <v>#VALUE!</v>
      </c>
      <c r="AT291" s="93"/>
      <c r="AU291" s="103"/>
      <c r="AV291" s="93"/>
      <c r="AW291" s="103"/>
      <c r="AX291" s="93" t="s">
        <v>99</v>
      </c>
      <c r="AY291" s="93" t="str">
        <f t="shared" si="95"/>
        <v>#REF!</v>
      </c>
      <c r="AZ291" s="95">
        <f t="shared" si="91"/>
        <v>46171</v>
      </c>
      <c r="BA291" s="93"/>
    </row>
    <row r="292" ht="30.75" customHeight="1">
      <c r="A292" s="93"/>
      <c r="B292" s="94"/>
      <c r="C292" s="93" t="s">
        <v>206</v>
      </c>
      <c r="D292" s="93">
        <v>17.0</v>
      </c>
      <c r="E292" s="93" t="s">
        <v>84</v>
      </c>
      <c r="F292" s="93" t="s">
        <v>98</v>
      </c>
      <c r="G292" s="93" t="s">
        <v>86</v>
      </c>
      <c r="H292" s="93" t="s">
        <v>1092</v>
      </c>
      <c r="I292" s="93" t="s">
        <v>88</v>
      </c>
      <c r="J292" s="93" t="s">
        <v>1090</v>
      </c>
      <c r="K292" s="93" t="s">
        <v>1085</v>
      </c>
      <c r="L292" s="93" t="s">
        <v>1091</v>
      </c>
      <c r="M292" s="93" t="s">
        <v>1062</v>
      </c>
      <c r="N292" s="93" t="s">
        <v>123</v>
      </c>
      <c r="O292" s="93" t="s">
        <v>124</v>
      </c>
      <c r="P292" s="93">
        <v>12.0</v>
      </c>
      <c r="Q292" s="93">
        <v>12.0</v>
      </c>
      <c r="R292" s="93" t="s">
        <v>1064</v>
      </c>
      <c r="S292" s="93" t="s">
        <v>1064</v>
      </c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 t="s">
        <v>214</v>
      </c>
      <c r="AR292" s="93" t="s">
        <v>214</v>
      </c>
      <c r="AS292" s="95" t="str">
        <f t="shared" si="96"/>
        <v>#VALUE!</v>
      </c>
      <c r="AT292" s="93"/>
      <c r="AU292" s="103"/>
      <c r="AV292" s="93"/>
      <c r="AW292" s="103"/>
      <c r="AX292" s="93" t="s">
        <v>99</v>
      </c>
      <c r="AY292" s="93" t="str">
        <f t="shared" si="95"/>
        <v>#REF!</v>
      </c>
      <c r="AZ292" s="95">
        <f t="shared" si="91"/>
        <v>46171</v>
      </c>
      <c r="BA292" s="93"/>
    </row>
    <row r="293" ht="30.75" customHeight="1">
      <c r="A293" s="93"/>
      <c r="B293" s="94"/>
      <c r="C293" s="93" t="s">
        <v>206</v>
      </c>
      <c r="D293" s="93">
        <v>18.0</v>
      </c>
      <c r="E293" s="93" t="s">
        <v>84</v>
      </c>
      <c r="F293" s="93" t="s">
        <v>98</v>
      </c>
      <c r="G293" s="93" t="s">
        <v>672</v>
      </c>
      <c r="H293" s="93" t="s">
        <v>98</v>
      </c>
      <c r="I293" s="93" t="s">
        <v>88</v>
      </c>
      <c r="J293" s="93" t="s">
        <v>1090</v>
      </c>
      <c r="K293" s="93" t="s">
        <v>1085</v>
      </c>
      <c r="L293" s="93" t="s">
        <v>1091</v>
      </c>
      <c r="M293" s="93" t="s">
        <v>1062</v>
      </c>
      <c r="N293" s="93" t="s">
        <v>123</v>
      </c>
      <c r="O293" s="93" t="s">
        <v>124</v>
      </c>
      <c r="P293" s="93">
        <v>12.0</v>
      </c>
      <c r="Q293" s="93">
        <v>12.0</v>
      </c>
      <c r="R293" s="93" t="s">
        <v>1064</v>
      </c>
      <c r="S293" s="93" t="s">
        <v>1064</v>
      </c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 t="s">
        <v>214</v>
      </c>
      <c r="AR293" s="93" t="s">
        <v>214</v>
      </c>
      <c r="AS293" s="95" t="str">
        <f t="shared" si="96"/>
        <v>#VALUE!</v>
      </c>
      <c r="AT293" s="93"/>
      <c r="AU293" s="103"/>
      <c r="AV293" s="93"/>
      <c r="AW293" s="103"/>
      <c r="AX293" s="93" t="s">
        <v>99</v>
      </c>
      <c r="AY293" s="93" t="str">
        <f t="shared" si="95"/>
        <v>#REF!</v>
      </c>
      <c r="AZ293" s="95">
        <f t="shared" si="91"/>
        <v>46171</v>
      </c>
      <c r="BA293" s="93"/>
    </row>
    <row r="294" ht="30.75" customHeight="1">
      <c r="A294" s="93" t="s">
        <v>81</v>
      </c>
      <c r="B294" s="94" t="s">
        <v>82</v>
      </c>
      <c r="C294" s="93" t="s">
        <v>206</v>
      </c>
      <c r="D294" s="93">
        <v>1.0</v>
      </c>
      <c r="E294" s="93" t="s">
        <v>1093</v>
      </c>
      <c r="F294" s="93" t="s">
        <v>98</v>
      </c>
      <c r="G294" s="93" t="s">
        <v>86</v>
      </c>
      <c r="H294" s="93" t="s">
        <v>98</v>
      </c>
      <c r="I294" s="93" t="s">
        <v>1094</v>
      </c>
      <c r="J294" s="93" t="s">
        <v>1095</v>
      </c>
      <c r="K294" s="93" t="s">
        <v>1096</v>
      </c>
      <c r="L294" s="93" t="s">
        <v>1097</v>
      </c>
      <c r="M294" s="93" t="s">
        <v>1098</v>
      </c>
      <c r="N294" s="93" t="s">
        <v>123</v>
      </c>
      <c r="O294" s="93" t="s">
        <v>124</v>
      </c>
      <c r="P294" s="93">
        <v>2.0</v>
      </c>
      <c r="Q294" s="93">
        <v>2.0</v>
      </c>
      <c r="R294" s="93"/>
      <c r="S294" s="93"/>
      <c r="T294" s="93"/>
      <c r="U294" s="93"/>
      <c r="V294" s="93"/>
      <c r="W294" s="93"/>
      <c r="X294" s="93"/>
      <c r="Y294" s="93"/>
      <c r="Z294" s="93">
        <v>1.0</v>
      </c>
      <c r="AA294" s="93">
        <v>1.0</v>
      </c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>
        <v>1.0</v>
      </c>
      <c r="AN294" s="93"/>
      <c r="AO294" s="93"/>
      <c r="AP294" s="93"/>
      <c r="AQ294" s="93" t="s">
        <v>125</v>
      </c>
      <c r="AR294" s="93" t="s">
        <v>125</v>
      </c>
      <c r="AS294" s="95" t="str">
        <f t="shared" si="96"/>
        <v>#VALUE!</v>
      </c>
      <c r="AT294" s="93"/>
      <c r="AU294" s="103"/>
      <c r="AV294" s="93"/>
      <c r="AW294" s="103"/>
      <c r="AX294" s="93"/>
      <c r="AY294" s="93" t="str">
        <f t="shared" si="95"/>
        <v>#REF!</v>
      </c>
      <c r="AZ294" s="95">
        <f t="shared" si="91"/>
        <v>46171</v>
      </c>
      <c r="BA294" s="93"/>
    </row>
    <row r="295" ht="30.75" customHeight="1">
      <c r="A295" s="93" t="s">
        <v>106</v>
      </c>
      <c r="B295" s="94" t="s">
        <v>82</v>
      </c>
      <c r="C295" s="110" t="s">
        <v>83</v>
      </c>
      <c r="D295" s="93"/>
      <c r="E295" s="111" t="s">
        <v>108</v>
      </c>
      <c r="F295" s="93" t="s">
        <v>98</v>
      </c>
      <c r="G295" s="93" t="s">
        <v>86</v>
      </c>
      <c r="H295" s="93" t="s">
        <v>98</v>
      </c>
      <c r="I295" s="93"/>
      <c r="J295" s="93" t="s">
        <v>1099</v>
      </c>
      <c r="K295" s="93" t="s">
        <v>430</v>
      </c>
      <c r="L295" s="93" t="s">
        <v>1100</v>
      </c>
      <c r="M295" s="93" t="s">
        <v>1101</v>
      </c>
      <c r="N295" s="93"/>
      <c r="O295" s="93"/>
      <c r="P295" s="111">
        <v>12.0</v>
      </c>
      <c r="Q295" s="111">
        <v>1.0</v>
      </c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>
        <v>1.0</v>
      </c>
      <c r="AC295" s="93">
        <v>1.0</v>
      </c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5" t="s">
        <v>95</v>
      </c>
      <c r="AR295" s="95" t="s">
        <v>95</v>
      </c>
      <c r="AS295" s="95" t="str">
        <f t="shared" ref="AS295:AS298" si="97">DATE(YEAR(AQ295),MONTH(AQ295)+P295,DAY(AQ295))</f>
        <v>#VALUE!</v>
      </c>
      <c r="AT295" s="93" t="s">
        <v>1102</v>
      </c>
      <c r="AU295" s="93"/>
      <c r="AV295" s="93"/>
      <c r="AW295" s="93"/>
      <c r="AX295" s="95"/>
      <c r="AY295" s="93"/>
      <c r="AZ295" s="95">
        <f t="shared" si="91"/>
        <v>46171</v>
      </c>
      <c r="BA295" s="95"/>
    </row>
    <row r="296" ht="30.75" customHeight="1">
      <c r="A296" s="114"/>
      <c r="B296" s="115" t="s">
        <v>82</v>
      </c>
      <c r="C296" s="116" t="s">
        <v>83</v>
      </c>
      <c r="D296" s="114"/>
      <c r="E296" s="117" t="s">
        <v>108</v>
      </c>
      <c r="F296" s="114"/>
      <c r="G296" s="114" t="s">
        <v>86</v>
      </c>
      <c r="H296" s="114" t="s">
        <v>939</v>
      </c>
      <c r="I296" s="114"/>
      <c r="J296" s="114" t="s">
        <v>1103</v>
      </c>
      <c r="K296" s="114" t="s">
        <v>902</v>
      </c>
      <c r="L296" s="114" t="s">
        <v>1104</v>
      </c>
      <c r="M296" s="114" t="s">
        <v>941</v>
      </c>
      <c r="N296" s="114"/>
      <c r="O296" s="114"/>
      <c r="P296" s="117">
        <v>12.0</v>
      </c>
      <c r="Q296" s="117">
        <v>1.0</v>
      </c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>
        <v>1.0</v>
      </c>
      <c r="AC296" s="114">
        <v>1.0</v>
      </c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8" t="s">
        <v>95</v>
      </c>
      <c r="AR296" s="118" t="s">
        <v>95</v>
      </c>
      <c r="AS296" s="118" t="str">
        <f t="shared" si="97"/>
        <v>#VALUE!</v>
      </c>
      <c r="AT296" s="114" t="s">
        <v>1105</v>
      </c>
      <c r="AU296" s="114"/>
      <c r="AV296" s="114"/>
      <c r="AW296" s="114"/>
      <c r="AX296" s="118"/>
      <c r="AY296" s="114"/>
      <c r="AZ296" s="118">
        <f t="shared" si="91"/>
        <v>46171</v>
      </c>
      <c r="BA296" s="118"/>
    </row>
    <row r="297" ht="30.75" customHeight="1">
      <c r="A297" s="93"/>
      <c r="B297" s="94" t="s">
        <v>82</v>
      </c>
      <c r="C297" s="110" t="s">
        <v>83</v>
      </c>
      <c r="D297" s="93">
        <v>45.0</v>
      </c>
      <c r="E297" s="111" t="s">
        <v>108</v>
      </c>
      <c r="F297" s="93" t="s">
        <v>98</v>
      </c>
      <c r="G297" s="93" t="s">
        <v>86</v>
      </c>
      <c r="H297" s="93" t="s">
        <v>1106</v>
      </c>
      <c r="I297" s="93" t="s">
        <v>88</v>
      </c>
      <c r="J297" s="93" t="s">
        <v>1107</v>
      </c>
      <c r="K297" s="93" t="s">
        <v>902</v>
      </c>
      <c r="L297" s="93" t="s">
        <v>903</v>
      </c>
      <c r="M297" s="93" t="s">
        <v>98</v>
      </c>
      <c r="N297" s="93" t="s">
        <v>920</v>
      </c>
      <c r="O297" s="93" t="s">
        <v>1108</v>
      </c>
      <c r="P297" s="111">
        <v>12.0</v>
      </c>
      <c r="Q297" s="111" t="s">
        <v>98</v>
      </c>
      <c r="R297" s="93" t="s">
        <v>98</v>
      </c>
      <c r="S297" s="93" t="s">
        <v>98</v>
      </c>
      <c r="T297" s="93" t="s">
        <v>98</v>
      </c>
      <c r="U297" s="93" t="s">
        <v>98</v>
      </c>
      <c r="V297" s="93" t="s">
        <v>98</v>
      </c>
      <c r="W297" s="93" t="s">
        <v>98</v>
      </c>
      <c r="X297" s="93" t="s">
        <v>98</v>
      </c>
      <c r="Y297" s="93" t="s">
        <v>98</v>
      </c>
      <c r="Z297" s="93" t="s">
        <v>98</v>
      </c>
      <c r="AA297" s="93" t="s">
        <v>98</v>
      </c>
      <c r="AB297" s="93" t="s">
        <v>98</v>
      </c>
      <c r="AC297" s="93" t="s">
        <v>98</v>
      </c>
      <c r="AD297" s="93" t="s">
        <v>98</v>
      </c>
      <c r="AE297" s="93" t="s">
        <v>98</v>
      </c>
      <c r="AF297" s="93" t="s">
        <v>98</v>
      </c>
      <c r="AG297" s="93" t="s">
        <v>98</v>
      </c>
      <c r="AH297" s="93" t="s">
        <v>98</v>
      </c>
      <c r="AI297" s="93" t="s">
        <v>98</v>
      </c>
      <c r="AJ297" s="93" t="s">
        <v>98</v>
      </c>
      <c r="AK297" s="93" t="s">
        <v>98</v>
      </c>
      <c r="AL297" s="93" t="s">
        <v>98</v>
      </c>
      <c r="AM297" s="93" t="s">
        <v>98</v>
      </c>
      <c r="AN297" s="93" t="s">
        <v>98</v>
      </c>
      <c r="AO297" s="93" t="s">
        <v>98</v>
      </c>
      <c r="AP297" s="93" t="str">
        <f>#REF!</f>
        <v>#REF!</v>
      </c>
      <c r="AQ297" s="93" t="s">
        <v>98</v>
      </c>
      <c r="AR297" s="93" t="s">
        <v>98</v>
      </c>
      <c r="AS297" s="95" t="str">
        <f t="shared" si="97"/>
        <v>#VALUE!</v>
      </c>
      <c r="AT297" s="93" t="s">
        <v>98</v>
      </c>
      <c r="AU297" s="93" t="s">
        <v>98</v>
      </c>
      <c r="AV297" s="93" t="s">
        <v>98</v>
      </c>
      <c r="AW297" s="93" t="s">
        <v>98</v>
      </c>
      <c r="AX297" s="93" t="s">
        <v>113</v>
      </c>
      <c r="AY297" s="93" t="str">
        <f>#REF!</f>
        <v>#REF!</v>
      </c>
      <c r="AZ297" s="95">
        <f t="shared" si="91"/>
        <v>46171</v>
      </c>
      <c r="BA297" s="95"/>
    </row>
    <row r="298" ht="30.75" customHeight="1">
      <c r="A298" s="93"/>
      <c r="B298" s="94" t="s">
        <v>82</v>
      </c>
      <c r="C298" s="94" t="s">
        <v>83</v>
      </c>
      <c r="D298" s="93"/>
      <c r="E298" s="93" t="s">
        <v>153</v>
      </c>
      <c r="F298" s="93"/>
      <c r="G298" s="93" t="s">
        <v>86</v>
      </c>
      <c r="H298" s="93" t="s">
        <v>949</v>
      </c>
      <c r="I298" s="93"/>
      <c r="J298" s="93" t="s">
        <v>1109</v>
      </c>
      <c r="K298" s="93" t="s">
        <v>902</v>
      </c>
      <c r="L298" s="93" t="s">
        <v>1110</v>
      </c>
      <c r="M298" s="93">
        <v>1.0158695E7</v>
      </c>
      <c r="N298" s="93"/>
      <c r="O298" s="93"/>
      <c r="P298" s="93">
        <v>12.0</v>
      </c>
      <c r="Q298" s="93">
        <v>1.0</v>
      </c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>
        <v>1.0</v>
      </c>
      <c r="AC298" s="93">
        <v>1.0</v>
      </c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5" t="s">
        <v>95</v>
      </c>
      <c r="AR298" s="95" t="s">
        <v>95</v>
      </c>
      <c r="AS298" s="95" t="str">
        <f t="shared" si="97"/>
        <v>#VALUE!</v>
      </c>
      <c r="AT298" s="93" t="s">
        <v>1111</v>
      </c>
      <c r="AU298" s="93"/>
      <c r="AV298" s="93"/>
      <c r="AW298" s="93"/>
      <c r="AX298" s="95"/>
      <c r="AY298" s="93"/>
      <c r="AZ298" s="95"/>
      <c r="BA298" s="95"/>
    </row>
    <row r="299" ht="30.75" customHeight="1">
      <c r="A299" s="93" t="s">
        <v>81</v>
      </c>
      <c r="B299" s="94" t="s">
        <v>82</v>
      </c>
      <c r="C299" s="94" t="s">
        <v>83</v>
      </c>
      <c r="D299" s="93"/>
      <c r="E299" s="93" t="s">
        <v>153</v>
      </c>
      <c r="F299" s="93"/>
      <c r="G299" s="93" t="s">
        <v>86</v>
      </c>
      <c r="H299" s="93" t="s">
        <v>914</v>
      </c>
      <c r="I299" s="93"/>
      <c r="J299" s="93" t="s">
        <v>1109</v>
      </c>
      <c r="K299" s="93" t="s">
        <v>902</v>
      </c>
      <c r="L299" s="93" t="s">
        <v>1112</v>
      </c>
      <c r="M299" s="93">
        <v>1.3510522E7</v>
      </c>
      <c r="N299" s="93"/>
      <c r="O299" s="93"/>
      <c r="P299" s="93">
        <v>12.0</v>
      </c>
      <c r="Q299" s="93">
        <v>1.0</v>
      </c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>
        <v>1.0</v>
      </c>
      <c r="AI299" s="93">
        <v>1.0</v>
      </c>
      <c r="AJ299" s="93"/>
      <c r="AK299" s="93"/>
      <c r="AL299" s="93"/>
      <c r="AM299" s="93"/>
      <c r="AN299" s="93"/>
      <c r="AO299" s="93"/>
      <c r="AP299" s="93"/>
      <c r="AQ299" s="93" t="s">
        <v>924</v>
      </c>
      <c r="AR299" s="93" t="s">
        <v>924</v>
      </c>
      <c r="AS299" s="93" t="s">
        <v>925</v>
      </c>
      <c r="AT299" s="93" t="s">
        <v>1113</v>
      </c>
      <c r="AU299" s="93"/>
      <c r="AV299" s="93"/>
      <c r="AW299" s="93"/>
      <c r="AX299" s="95"/>
      <c r="AY299" s="93"/>
      <c r="AZ299" s="95">
        <f t="shared" ref="AZ299:AZ304" si="98">TODAY()</f>
        <v>46171</v>
      </c>
      <c r="BA299" s="95"/>
    </row>
    <row r="300" ht="30.75" customHeight="1">
      <c r="A300" s="93" t="s">
        <v>487</v>
      </c>
      <c r="B300" s="94" t="s">
        <v>82</v>
      </c>
      <c r="C300" s="94" t="s">
        <v>83</v>
      </c>
      <c r="D300" s="93"/>
      <c r="E300" s="93" t="s">
        <v>116</v>
      </c>
      <c r="F300" s="93" t="s">
        <v>98</v>
      </c>
      <c r="G300" s="93" t="s">
        <v>86</v>
      </c>
      <c r="H300" s="93" t="s">
        <v>98</v>
      </c>
      <c r="I300" s="93"/>
      <c r="J300" s="93" t="s">
        <v>1114</v>
      </c>
      <c r="K300" s="93" t="s">
        <v>433</v>
      </c>
      <c r="L300" s="93" t="s">
        <v>1115</v>
      </c>
      <c r="M300" s="102" t="s">
        <v>1116</v>
      </c>
      <c r="N300" s="93"/>
      <c r="O300" s="93"/>
      <c r="P300" s="93">
        <v>12.0</v>
      </c>
      <c r="Q300" s="93">
        <v>1.0</v>
      </c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>
        <v>1.0</v>
      </c>
      <c r="AC300" s="93">
        <v>1.0</v>
      </c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5" t="s">
        <v>95</v>
      </c>
      <c r="AR300" s="95" t="s">
        <v>95</v>
      </c>
      <c r="AS300" s="95" t="str">
        <f t="shared" ref="AS300:AS304" si="99">DATE(YEAR(AQ300),MONTH(AQ300)+P300,DAY(AQ300))</f>
        <v>#VALUE!</v>
      </c>
      <c r="AT300" s="93" t="s">
        <v>1117</v>
      </c>
      <c r="AU300" s="93"/>
      <c r="AV300" s="93"/>
      <c r="AW300" s="93"/>
      <c r="AX300" s="95"/>
      <c r="AY300" s="93"/>
      <c r="AZ300" s="95">
        <f t="shared" si="98"/>
        <v>46171</v>
      </c>
      <c r="BA300" s="95"/>
    </row>
    <row r="301" ht="30.75" customHeight="1">
      <c r="A301" s="93" t="s">
        <v>81</v>
      </c>
      <c r="B301" s="94" t="s">
        <v>82</v>
      </c>
      <c r="C301" s="94" t="s">
        <v>83</v>
      </c>
      <c r="D301" s="93"/>
      <c r="E301" s="93" t="s">
        <v>336</v>
      </c>
      <c r="F301" s="93"/>
      <c r="G301" s="93" t="s">
        <v>86</v>
      </c>
      <c r="H301" s="93" t="s">
        <v>98</v>
      </c>
      <c r="I301" s="93"/>
      <c r="J301" s="93" t="s">
        <v>1114</v>
      </c>
      <c r="K301" s="93" t="s">
        <v>902</v>
      </c>
      <c r="L301" s="93" t="s">
        <v>1118</v>
      </c>
      <c r="M301" s="93">
        <v>6115633.0</v>
      </c>
      <c r="N301" s="111" t="s">
        <v>904</v>
      </c>
      <c r="O301" s="93"/>
      <c r="P301" s="93">
        <v>12.0</v>
      </c>
      <c r="Q301" s="93">
        <v>1.0</v>
      </c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>
        <v>1.0</v>
      </c>
      <c r="AC301" s="93">
        <v>1.0</v>
      </c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5" t="s">
        <v>95</v>
      </c>
      <c r="AR301" s="95" t="s">
        <v>95</v>
      </c>
      <c r="AS301" s="95" t="str">
        <f t="shared" si="99"/>
        <v>#VALUE!</v>
      </c>
      <c r="AT301" s="93" t="s">
        <v>1119</v>
      </c>
      <c r="AU301" s="93"/>
      <c r="AV301" s="93"/>
      <c r="AW301" s="93"/>
      <c r="AX301" s="95"/>
      <c r="AY301" s="93"/>
      <c r="AZ301" s="95">
        <f t="shared" si="98"/>
        <v>46171</v>
      </c>
      <c r="BA301" s="95"/>
    </row>
    <row r="302" ht="30.75" customHeight="1">
      <c r="A302" s="93"/>
      <c r="B302" s="94" t="s">
        <v>82</v>
      </c>
      <c r="C302" s="94" t="s">
        <v>83</v>
      </c>
      <c r="D302" s="93">
        <v>16.0</v>
      </c>
      <c r="E302" s="93" t="s">
        <v>336</v>
      </c>
      <c r="F302" s="93" t="s">
        <v>98</v>
      </c>
      <c r="G302" s="93" t="s">
        <v>86</v>
      </c>
      <c r="H302" s="93" t="s">
        <v>1120</v>
      </c>
      <c r="I302" s="93" t="s">
        <v>88</v>
      </c>
      <c r="J302" s="93" t="s">
        <v>1121</v>
      </c>
      <c r="K302" s="93" t="s">
        <v>902</v>
      </c>
      <c r="L302" s="93" t="s">
        <v>919</v>
      </c>
      <c r="M302" s="93">
        <v>6115584.0</v>
      </c>
      <c r="N302" s="93" t="s">
        <v>920</v>
      </c>
      <c r="O302" s="93" t="s">
        <v>678</v>
      </c>
      <c r="P302" s="93">
        <v>12.0</v>
      </c>
      <c r="Q302" s="93" t="s">
        <v>98</v>
      </c>
      <c r="R302" s="93" t="s">
        <v>98</v>
      </c>
      <c r="S302" s="93" t="s">
        <v>98</v>
      </c>
      <c r="T302" s="93" t="s">
        <v>98</v>
      </c>
      <c r="U302" s="93" t="s">
        <v>98</v>
      </c>
      <c r="V302" s="93" t="s">
        <v>98</v>
      </c>
      <c r="W302" s="93" t="s">
        <v>98</v>
      </c>
      <c r="X302" s="93" t="s">
        <v>98</v>
      </c>
      <c r="Y302" s="93" t="s">
        <v>98</v>
      </c>
      <c r="Z302" s="93" t="s">
        <v>98</v>
      </c>
      <c r="AA302" s="93" t="s">
        <v>98</v>
      </c>
      <c r="AB302" s="93" t="s">
        <v>98</v>
      </c>
      <c r="AC302" s="93" t="s">
        <v>98</v>
      </c>
      <c r="AD302" s="93" t="s">
        <v>98</v>
      </c>
      <c r="AE302" s="93" t="s">
        <v>98</v>
      </c>
      <c r="AF302" s="93" t="s">
        <v>98</v>
      </c>
      <c r="AG302" s="93" t="s">
        <v>98</v>
      </c>
      <c r="AH302" s="93" t="s">
        <v>98</v>
      </c>
      <c r="AI302" s="93" t="s">
        <v>98</v>
      </c>
      <c r="AJ302" s="93" t="s">
        <v>98</v>
      </c>
      <c r="AK302" s="93" t="s">
        <v>98</v>
      </c>
      <c r="AL302" s="93" t="s">
        <v>98</v>
      </c>
      <c r="AM302" s="93" t="s">
        <v>98</v>
      </c>
      <c r="AN302" s="93" t="s">
        <v>98</v>
      </c>
      <c r="AO302" s="93" t="s">
        <v>98</v>
      </c>
      <c r="AP302" s="93" t="str">
        <f>#REF!</f>
        <v>#REF!</v>
      </c>
      <c r="AQ302" s="93" t="s">
        <v>98</v>
      </c>
      <c r="AR302" s="93" t="s">
        <v>98</v>
      </c>
      <c r="AS302" s="95" t="str">
        <f t="shared" si="99"/>
        <v>#VALUE!</v>
      </c>
      <c r="AT302" s="93" t="s">
        <v>98</v>
      </c>
      <c r="AU302" s="93" t="s">
        <v>98</v>
      </c>
      <c r="AV302" s="93" t="s">
        <v>98</v>
      </c>
      <c r="AW302" s="93" t="s">
        <v>98</v>
      </c>
      <c r="AX302" s="93" t="s">
        <v>113</v>
      </c>
      <c r="AY302" s="93" t="str">
        <f>#REF!</f>
        <v>#REF!</v>
      </c>
      <c r="AZ302" s="95">
        <f t="shared" si="98"/>
        <v>46171</v>
      </c>
      <c r="BA302" s="95"/>
    </row>
    <row r="303" ht="30.75" customHeight="1">
      <c r="A303" s="93"/>
      <c r="B303" s="94" t="s">
        <v>82</v>
      </c>
      <c r="C303" s="94" t="s">
        <v>83</v>
      </c>
      <c r="D303" s="93"/>
      <c r="E303" s="93" t="s">
        <v>153</v>
      </c>
      <c r="F303" s="93"/>
      <c r="G303" s="93" t="s">
        <v>86</v>
      </c>
      <c r="H303" s="93" t="s">
        <v>98</v>
      </c>
      <c r="I303" s="93"/>
      <c r="J303" s="93" t="s">
        <v>1122</v>
      </c>
      <c r="K303" s="93" t="s">
        <v>902</v>
      </c>
      <c r="L303" s="93" t="s">
        <v>1123</v>
      </c>
      <c r="M303" s="93">
        <v>1.0158695E7</v>
      </c>
      <c r="N303" s="93"/>
      <c r="O303" s="93"/>
      <c r="P303" s="93">
        <v>12.0</v>
      </c>
      <c r="Q303" s="93">
        <v>1.0</v>
      </c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>
        <v>1.0</v>
      </c>
      <c r="AC303" s="93">
        <v>1.0</v>
      </c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5" t="s">
        <v>95</v>
      </c>
      <c r="AR303" s="95" t="s">
        <v>95</v>
      </c>
      <c r="AS303" s="95" t="str">
        <f t="shared" si="99"/>
        <v>#VALUE!</v>
      </c>
      <c r="AT303" s="93" t="s">
        <v>1111</v>
      </c>
      <c r="AU303" s="93"/>
      <c r="AV303" s="93"/>
      <c r="AW303" s="93"/>
      <c r="AX303" s="95"/>
      <c r="AY303" s="93"/>
      <c r="AZ303" s="95">
        <f t="shared" si="98"/>
        <v>46171</v>
      </c>
      <c r="BA303" s="95"/>
    </row>
    <row r="304" ht="30.75" customHeight="1">
      <c r="A304" s="93"/>
      <c r="B304" s="94" t="s">
        <v>82</v>
      </c>
      <c r="C304" s="94" t="s">
        <v>83</v>
      </c>
      <c r="D304" s="93"/>
      <c r="E304" s="93" t="s">
        <v>153</v>
      </c>
      <c r="F304" s="93"/>
      <c r="G304" s="93" t="s">
        <v>86</v>
      </c>
      <c r="H304" s="93" t="s">
        <v>98</v>
      </c>
      <c r="I304" s="93"/>
      <c r="J304" s="93" t="s">
        <v>1122</v>
      </c>
      <c r="K304" s="93" t="s">
        <v>430</v>
      </c>
      <c r="L304" s="93" t="s">
        <v>1124</v>
      </c>
      <c r="M304" s="93" t="s">
        <v>1125</v>
      </c>
      <c r="N304" s="93"/>
      <c r="O304" s="93"/>
      <c r="P304" s="93">
        <v>12.0</v>
      </c>
      <c r="Q304" s="93">
        <v>1.0</v>
      </c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>
        <v>1.0</v>
      </c>
      <c r="AC304" s="93">
        <v>1.0</v>
      </c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5" t="s">
        <v>95</v>
      </c>
      <c r="AR304" s="95" t="s">
        <v>95</v>
      </c>
      <c r="AS304" s="95" t="str">
        <f t="shared" si="99"/>
        <v>#VALUE!</v>
      </c>
      <c r="AT304" s="93" t="s">
        <v>1126</v>
      </c>
      <c r="AU304" s="93"/>
      <c r="AV304" s="93"/>
      <c r="AW304" s="93"/>
      <c r="AX304" s="95"/>
      <c r="AY304" s="93"/>
      <c r="AZ304" s="95">
        <f t="shared" si="98"/>
        <v>46171</v>
      </c>
      <c r="BA304" s="95"/>
    </row>
    <row r="305" ht="30.75" customHeight="1">
      <c r="A305" s="93"/>
      <c r="B305" s="94" t="s">
        <v>82</v>
      </c>
      <c r="C305" s="94" t="s">
        <v>83</v>
      </c>
      <c r="D305" s="93">
        <v>7.0</v>
      </c>
      <c r="E305" s="93" t="s">
        <v>131</v>
      </c>
      <c r="F305" s="93" t="s">
        <v>1127</v>
      </c>
      <c r="G305" s="93" t="s">
        <v>86</v>
      </c>
      <c r="H305" s="93" t="s">
        <v>98</v>
      </c>
      <c r="I305" s="93" t="s">
        <v>88</v>
      </c>
      <c r="J305" s="93" t="s">
        <v>1128</v>
      </c>
      <c r="K305" s="93" t="s">
        <v>1014</v>
      </c>
      <c r="L305" s="93" t="s">
        <v>933</v>
      </c>
      <c r="M305" s="93" t="s">
        <v>1129</v>
      </c>
      <c r="N305" s="93" t="s">
        <v>862</v>
      </c>
      <c r="O305" s="93" t="s">
        <v>678</v>
      </c>
      <c r="P305" s="93">
        <v>12.0</v>
      </c>
      <c r="Q305" s="93">
        <v>1.0</v>
      </c>
      <c r="R305" s="93"/>
      <c r="S305" s="93"/>
      <c r="T305" s="93"/>
      <c r="U305" s="93"/>
      <c r="V305" s="93">
        <v>1.0</v>
      </c>
      <c r="W305" s="93">
        <v>1.0</v>
      </c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>
        <v>0.0</v>
      </c>
      <c r="AQ305" s="95">
        <v>45008.0</v>
      </c>
      <c r="AR305" s="95">
        <v>45008.0</v>
      </c>
      <c r="AS305" s="95">
        <v>45374.0</v>
      </c>
      <c r="AT305" s="93" t="s">
        <v>1130</v>
      </c>
      <c r="AU305" s="93" t="s">
        <v>1131</v>
      </c>
      <c r="AV305" s="93" t="s">
        <v>1132</v>
      </c>
      <c r="AW305" s="93" t="s">
        <v>1133</v>
      </c>
      <c r="AX305" s="93" t="s">
        <v>99</v>
      </c>
      <c r="AY305" s="93">
        <v>0.0</v>
      </c>
      <c r="AZ305" s="95">
        <v>45370.0</v>
      </c>
      <c r="BA305" s="95"/>
    </row>
    <row r="306" ht="30.75" customHeight="1">
      <c r="A306" s="93"/>
      <c r="B306" s="94" t="s">
        <v>82</v>
      </c>
      <c r="C306" s="94" t="s">
        <v>83</v>
      </c>
      <c r="D306" s="93">
        <v>8.0</v>
      </c>
      <c r="E306" s="93" t="s">
        <v>131</v>
      </c>
      <c r="F306" s="93" t="s">
        <v>1134</v>
      </c>
      <c r="G306" s="93" t="s">
        <v>86</v>
      </c>
      <c r="H306" s="93" t="s">
        <v>98</v>
      </c>
      <c r="I306" s="93" t="s">
        <v>88</v>
      </c>
      <c r="J306" s="93" t="s">
        <v>1135</v>
      </c>
      <c r="K306" s="93" t="s">
        <v>902</v>
      </c>
      <c r="L306" s="93" t="s">
        <v>919</v>
      </c>
      <c r="M306" s="93">
        <v>1.0185066E7</v>
      </c>
      <c r="N306" s="93" t="s">
        <v>920</v>
      </c>
      <c r="O306" s="93" t="s">
        <v>942</v>
      </c>
      <c r="P306" s="93">
        <v>12.0</v>
      </c>
      <c r="Q306" s="93" t="s">
        <v>98</v>
      </c>
      <c r="R306" s="93" t="s">
        <v>98</v>
      </c>
      <c r="S306" s="93" t="s">
        <v>98</v>
      </c>
      <c r="T306" s="93" t="s">
        <v>98</v>
      </c>
      <c r="U306" s="93" t="s">
        <v>98</v>
      </c>
      <c r="V306" s="93" t="s">
        <v>98</v>
      </c>
      <c r="W306" s="93" t="s">
        <v>98</v>
      </c>
      <c r="X306" s="93" t="s">
        <v>98</v>
      </c>
      <c r="Y306" s="93" t="s">
        <v>98</v>
      </c>
      <c r="Z306" s="93" t="s">
        <v>98</v>
      </c>
      <c r="AA306" s="93" t="s">
        <v>98</v>
      </c>
      <c r="AB306" s="93" t="s">
        <v>98</v>
      </c>
      <c r="AC306" s="93" t="s">
        <v>98</v>
      </c>
      <c r="AD306" s="93" t="s">
        <v>98</v>
      </c>
      <c r="AE306" s="93" t="s">
        <v>98</v>
      </c>
      <c r="AF306" s="93" t="s">
        <v>98</v>
      </c>
      <c r="AG306" s="93" t="s">
        <v>98</v>
      </c>
      <c r="AH306" s="93" t="s">
        <v>98</v>
      </c>
      <c r="AI306" s="93" t="s">
        <v>98</v>
      </c>
      <c r="AJ306" s="93" t="s">
        <v>98</v>
      </c>
      <c r="AK306" s="93" t="s">
        <v>98</v>
      </c>
      <c r="AL306" s="93" t="s">
        <v>98</v>
      </c>
      <c r="AM306" s="93" t="s">
        <v>98</v>
      </c>
      <c r="AN306" s="93" t="s">
        <v>98</v>
      </c>
      <c r="AO306" s="93" t="s">
        <v>98</v>
      </c>
      <c r="AP306" s="93" t="s">
        <v>983</v>
      </c>
      <c r="AQ306" s="93" t="s">
        <v>98</v>
      </c>
      <c r="AR306" s="93" t="s">
        <v>98</v>
      </c>
      <c r="AS306" s="93" t="e">
        <v>#VALUE!</v>
      </c>
      <c r="AT306" s="93" t="s">
        <v>98</v>
      </c>
      <c r="AU306" s="93" t="s">
        <v>98</v>
      </c>
      <c r="AV306" s="93" t="s">
        <v>98</v>
      </c>
      <c r="AW306" s="93" t="s">
        <v>98</v>
      </c>
      <c r="AX306" s="93" t="s">
        <v>113</v>
      </c>
      <c r="AY306" s="93" t="s">
        <v>983</v>
      </c>
      <c r="AZ306" s="95">
        <v>45370.0</v>
      </c>
      <c r="BA306" s="95"/>
    </row>
    <row r="307" ht="30.75" customHeight="1">
      <c r="A307" s="93"/>
      <c r="B307" s="94" t="s">
        <v>82</v>
      </c>
      <c r="C307" s="94" t="s">
        <v>83</v>
      </c>
      <c r="D307" s="93">
        <v>9.0</v>
      </c>
      <c r="E307" s="93" t="s">
        <v>131</v>
      </c>
      <c r="F307" s="93" t="s">
        <v>98</v>
      </c>
      <c r="G307" s="93" t="s">
        <v>86</v>
      </c>
      <c r="H307" s="93" t="s">
        <v>98</v>
      </c>
      <c r="I307" s="93" t="s">
        <v>88</v>
      </c>
      <c r="J307" s="93" t="s">
        <v>1135</v>
      </c>
      <c r="K307" s="93" t="s">
        <v>902</v>
      </c>
      <c r="L307" s="93" t="s">
        <v>919</v>
      </c>
      <c r="M307" s="93">
        <v>7042776.0</v>
      </c>
      <c r="N307" s="93" t="s">
        <v>920</v>
      </c>
      <c r="O307" s="93" t="s">
        <v>942</v>
      </c>
      <c r="P307" s="93">
        <v>12.0</v>
      </c>
      <c r="Q307" s="93" t="s">
        <v>98</v>
      </c>
      <c r="R307" s="93" t="s">
        <v>98</v>
      </c>
      <c r="S307" s="93" t="s">
        <v>98</v>
      </c>
      <c r="T307" s="93" t="s">
        <v>98</v>
      </c>
      <c r="U307" s="93" t="s">
        <v>98</v>
      </c>
      <c r="V307" s="93" t="s">
        <v>98</v>
      </c>
      <c r="W307" s="93" t="s">
        <v>98</v>
      </c>
      <c r="X307" s="93" t="s">
        <v>98</v>
      </c>
      <c r="Y307" s="93" t="s">
        <v>98</v>
      </c>
      <c r="Z307" s="93" t="s">
        <v>98</v>
      </c>
      <c r="AA307" s="93" t="s">
        <v>98</v>
      </c>
      <c r="AB307" s="93" t="s">
        <v>98</v>
      </c>
      <c r="AC307" s="93" t="s">
        <v>98</v>
      </c>
      <c r="AD307" s="93" t="s">
        <v>98</v>
      </c>
      <c r="AE307" s="93" t="s">
        <v>98</v>
      </c>
      <c r="AF307" s="93" t="s">
        <v>98</v>
      </c>
      <c r="AG307" s="93" t="s">
        <v>98</v>
      </c>
      <c r="AH307" s="93" t="s">
        <v>98</v>
      </c>
      <c r="AI307" s="93" t="s">
        <v>98</v>
      </c>
      <c r="AJ307" s="93" t="s">
        <v>98</v>
      </c>
      <c r="AK307" s="93" t="s">
        <v>98</v>
      </c>
      <c r="AL307" s="93" t="s">
        <v>98</v>
      </c>
      <c r="AM307" s="93" t="s">
        <v>98</v>
      </c>
      <c r="AN307" s="93" t="s">
        <v>98</v>
      </c>
      <c r="AO307" s="93" t="s">
        <v>98</v>
      </c>
      <c r="AP307" s="93" t="s">
        <v>983</v>
      </c>
      <c r="AQ307" s="93" t="s">
        <v>98</v>
      </c>
      <c r="AR307" s="93" t="s">
        <v>98</v>
      </c>
      <c r="AS307" s="93" t="e">
        <v>#VALUE!</v>
      </c>
      <c r="AT307" s="93" t="s">
        <v>98</v>
      </c>
      <c r="AU307" s="93" t="s">
        <v>98</v>
      </c>
      <c r="AV307" s="93" t="s">
        <v>98</v>
      </c>
      <c r="AW307" s="93" t="s">
        <v>98</v>
      </c>
      <c r="AX307" s="93" t="s">
        <v>113</v>
      </c>
      <c r="AY307" s="93" t="s">
        <v>983</v>
      </c>
      <c r="AZ307" s="95">
        <v>45370.0</v>
      </c>
      <c r="BA307" s="95"/>
    </row>
    <row r="308" ht="30.75" customHeight="1">
      <c r="A308" s="93" t="s">
        <v>487</v>
      </c>
      <c r="B308" s="94" t="s">
        <v>82</v>
      </c>
      <c r="C308" s="94" t="s">
        <v>83</v>
      </c>
      <c r="D308" s="93"/>
      <c r="E308" s="93" t="s">
        <v>116</v>
      </c>
      <c r="F308" s="93" t="s">
        <v>98</v>
      </c>
      <c r="G308" s="93" t="s">
        <v>86</v>
      </c>
      <c r="H308" s="93" t="s">
        <v>98</v>
      </c>
      <c r="I308" s="93"/>
      <c r="J308" s="93" t="s">
        <v>1128</v>
      </c>
      <c r="K308" s="93" t="s">
        <v>433</v>
      </c>
      <c r="L308" s="93" t="s">
        <v>1115</v>
      </c>
      <c r="M308" s="102" t="s">
        <v>1136</v>
      </c>
      <c r="N308" s="93"/>
      <c r="O308" s="93"/>
      <c r="P308" s="93">
        <v>12.0</v>
      </c>
      <c r="Q308" s="93">
        <v>1.0</v>
      </c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>
        <v>1.0</v>
      </c>
      <c r="AC308" s="93">
        <v>1.0</v>
      </c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5" t="s">
        <v>95</v>
      </c>
      <c r="AR308" s="95" t="s">
        <v>95</v>
      </c>
      <c r="AS308" s="95" t="str">
        <f>DATE(YEAR(AQ308),MONTH(AQ308)+P308,DAY(AQ308))</f>
        <v>#VALUE!</v>
      </c>
      <c r="AT308" s="93" t="s">
        <v>1137</v>
      </c>
      <c r="AU308" s="93"/>
      <c r="AV308" s="93"/>
      <c r="AW308" s="93"/>
      <c r="AX308" s="95"/>
      <c r="AY308" s="93"/>
      <c r="AZ308" s="95">
        <f t="shared" ref="AZ308:AZ317" si="100">TODAY()</f>
        <v>46171</v>
      </c>
      <c r="BA308" s="95"/>
    </row>
    <row r="309" ht="30.75" customHeight="1">
      <c r="A309" s="93" t="s">
        <v>81</v>
      </c>
      <c r="B309" s="94" t="s">
        <v>82</v>
      </c>
      <c r="C309" s="94" t="s">
        <v>83</v>
      </c>
      <c r="D309" s="93"/>
      <c r="E309" s="93" t="s">
        <v>153</v>
      </c>
      <c r="F309" s="93"/>
      <c r="G309" s="93" t="s">
        <v>86</v>
      </c>
      <c r="H309" s="93" t="s">
        <v>952</v>
      </c>
      <c r="I309" s="93"/>
      <c r="J309" s="93" t="s">
        <v>1128</v>
      </c>
      <c r="K309" s="93" t="s">
        <v>902</v>
      </c>
      <c r="L309" s="93" t="s">
        <v>1123</v>
      </c>
      <c r="M309" s="93">
        <v>6112825.0</v>
      </c>
      <c r="N309" s="93"/>
      <c r="O309" s="93"/>
      <c r="P309" s="93">
        <v>12.0</v>
      </c>
      <c r="Q309" s="93">
        <v>1.0</v>
      </c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>
        <v>1.0</v>
      </c>
      <c r="AI309" s="93">
        <v>1.0</v>
      </c>
      <c r="AJ309" s="93"/>
      <c r="AK309" s="93"/>
      <c r="AL309" s="93"/>
      <c r="AM309" s="93"/>
      <c r="AN309" s="93"/>
      <c r="AO309" s="93"/>
      <c r="AP309" s="93"/>
      <c r="AQ309" s="93" t="s">
        <v>924</v>
      </c>
      <c r="AR309" s="93" t="s">
        <v>924</v>
      </c>
      <c r="AS309" s="93" t="s">
        <v>925</v>
      </c>
      <c r="AT309" s="93" t="s">
        <v>1138</v>
      </c>
      <c r="AU309" s="93"/>
      <c r="AV309" s="93"/>
      <c r="AW309" s="93"/>
      <c r="AX309" s="93" t="s">
        <v>99</v>
      </c>
      <c r="AY309" s="93"/>
      <c r="AZ309" s="95">
        <f t="shared" si="100"/>
        <v>46171</v>
      </c>
      <c r="BA309" s="95"/>
    </row>
    <row r="310" ht="30.75" customHeight="1">
      <c r="A310" s="93" t="s">
        <v>81</v>
      </c>
      <c r="B310" s="94" t="s">
        <v>82</v>
      </c>
      <c r="C310" s="94" t="s">
        <v>83</v>
      </c>
      <c r="D310" s="93"/>
      <c r="E310" s="93" t="s">
        <v>153</v>
      </c>
      <c r="F310" s="93"/>
      <c r="G310" s="93" t="s">
        <v>86</v>
      </c>
      <c r="H310" s="93" t="s">
        <v>98</v>
      </c>
      <c r="I310" s="93"/>
      <c r="J310" s="93" t="s">
        <v>1128</v>
      </c>
      <c r="K310" s="93" t="s">
        <v>430</v>
      </c>
      <c r="L310" s="93" t="s">
        <v>1124</v>
      </c>
      <c r="M310" s="93" t="s">
        <v>1139</v>
      </c>
      <c r="N310" s="93"/>
      <c r="O310" s="93"/>
      <c r="P310" s="93">
        <v>12.0</v>
      </c>
      <c r="Q310" s="93">
        <v>1.0</v>
      </c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>
        <v>1.0</v>
      </c>
      <c r="AI310" s="93">
        <v>1.0</v>
      </c>
      <c r="AJ310" s="93"/>
      <c r="AK310" s="93"/>
      <c r="AL310" s="93"/>
      <c r="AM310" s="93"/>
      <c r="AN310" s="93"/>
      <c r="AO310" s="93"/>
      <c r="AP310" s="93"/>
      <c r="AQ310" s="93" t="s">
        <v>924</v>
      </c>
      <c r="AR310" s="93" t="s">
        <v>924</v>
      </c>
      <c r="AS310" s="93" t="s">
        <v>925</v>
      </c>
      <c r="AT310" s="93" t="s">
        <v>1140</v>
      </c>
      <c r="AU310" s="93"/>
      <c r="AV310" s="93"/>
      <c r="AW310" s="93"/>
      <c r="AX310" s="93" t="s">
        <v>99</v>
      </c>
      <c r="AY310" s="93"/>
      <c r="AZ310" s="95">
        <f t="shared" si="100"/>
        <v>46171</v>
      </c>
      <c r="BA310" s="95"/>
    </row>
    <row r="311" ht="30.75" customHeight="1">
      <c r="A311" s="93" t="s">
        <v>81</v>
      </c>
      <c r="B311" s="94" t="s">
        <v>82</v>
      </c>
      <c r="C311" s="94" t="s">
        <v>83</v>
      </c>
      <c r="D311" s="93"/>
      <c r="E311" s="93" t="s">
        <v>336</v>
      </c>
      <c r="F311" s="93"/>
      <c r="G311" s="93" t="s">
        <v>86</v>
      </c>
      <c r="H311" s="93" t="s">
        <v>1141</v>
      </c>
      <c r="I311" s="93"/>
      <c r="J311" s="93" t="s">
        <v>1128</v>
      </c>
      <c r="K311" s="93" t="s">
        <v>902</v>
      </c>
      <c r="L311" s="93" t="s">
        <v>1142</v>
      </c>
      <c r="M311" s="93">
        <v>5068418.0</v>
      </c>
      <c r="N311" s="111" t="s">
        <v>904</v>
      </c>
      <c r="O311" s="93"/>
      <c r="P311" s="93">
        <v>12.0</v>
      </c>
      <c r="Q311" s="93">
        <v>1.0</v>
      </c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>
        <v>1.0</v>
      </c>
      <c r="AC311" s="93">
        <v>1.0</v>
      </c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5" t="s">
        <v>95</v>
      </c>
      <c r="AR311" s="95" t="s">
        <v>95</v>
      </c>
      <c r="AS311" s="95" t="str">
        <f t="shared" ref="AS311:AS322" si="101">DATE(YEAR(AQ311),MONTH(AQ311)+P311,DAY(AQ311))</f>
        <v>#VALUE!</v>
      </c>
      <c r="AT311" s="93" t="s">
        <v>1143</v>
      </c>
      <c r="AU311" s="93"/>
      <c r="AV311" s="93"/>
      <c r="AW311" s="93"/>
      <c r="AX311" s="95" t="s">
        <v>99</v>
      </c>
      <c r="AY311" s="93"/>
      <c r="AZ311" s="95">
        <f t="shared" si="100"/>
        <v>46171</v>
      </c>
      <c r="BA311" s="95"/>
    </row>
    <row r="312" ht="30.75" customHeight="1">
      <c r="A312" s="93" t="s">
        <v>81</v>
      </c>
      <c r="B312" s="94" t="s">
        <v>82</v>
      </c>
      <c r="C312" s="94" t="s">
        <v>83</v>
      </c>
      <c r="D312" s="93"/>
      <c r="E312" s="93" t="s">
        <v>336</v>
      </c>
      <c r="F312" s="93"/>
      <c r="G312" s="93" t="s">
        <v>86</v>
      </c>
      <c r="H312" s="93" t="s">
        <v>1144</v>
      </c>
      <c r="I312" s="93"/>
      <c r="J312" s="93" t="s">
        <v>1128</v>
      </c>
      <c r="K312" s="93" t="s">
        <v>902</v>
      </c>
      <c r="L312" s="93" t="s">
        <v>1142</v>
      </c>
      <c r="M312" s="93">
        <v>9117143.0</v>
      </c>
      <c r="N312" s="111" t="s">
        <v>904</v>
      </c>
      <c r="O312" s="93"/>
      <c r="P312" s="93">
        <v>12.0</v>
      </c>
      <c r="Q312" s="93">
        <v>1.0</v>
      </c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>
        <v>1.0</v>
      </c>
      <c r="AC312" s="93">
        <v>1.0</v>
      </c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5" t="s">
        <v>95</v>
      </c>
      <c r="AR312" s="95" t="s">
        <v>95</v>
      </c>
      <c r="AS312" s="95" t="str">
        <f t="shared" si="101"/>
        <v>#VALUE!</v>
      </c>
      <c r="AT312" s="93" t="s">
        <v>1145</v>
      </c>
      <c r="AU312" s="93"/>
      <c r="AV312" s="93"/>
      <c r="AW312" s="93"/>
      <c r="AX312" s="95"/>
      <c r="AY312" s="93"/>
      <c r="AZ312" s="95">
        <f t="shared" si="100"/>
        <v>46171</v>
      </c>
      <c r="BA312" s="95"/>
    </row>
    <row r="313" ht="30.75" customHeight="1">
      <c r="A313" s="93"/>
      <c r="B313" s="94" t="s">
        <v>82</v>
      </c>
      <c r="C313" s="94" t="s">
        <v>83</v>
      </c>
      <c r="D313" s="93">
        <v>14.0</v>
      </c>
      <c r="E313" s="93" t="s">
        <v>336</v>
      </c>
      <c r="F313" s="93" t="s">
        <v>98</v>
      </c>
      <c r="G313" s="93" t="s">
        <v>86</v>
      </c>
      <c r="H313" s="93" t="s">
        <v>1141</v>
      </c>
      <c r="I313" s="93" t="s">
        <v>88</v>
      </c>
      <c r="J313" s="93" t="s">
        <v>1128</v>
      </c>
      <c r="K313" s="93" t="s">
        <v>902</v>
      </c>
      <c r="L313" s="93" t="s">
        <v>933</v>
      </c>
      <c r="M313" s="93">
        <v>5068418.0</v>
      </c>
      <c r="N313" s="93" t="s">
        <v>920</v>
      </c>
      <c r="O313" s="93" t="s">
        <v>652</v>
      </c>
      <c r="P313" s="93">
        <v>12.0</v>
      </c>
      <c r="Q313" s="93">
        <v>1.0</v>
      </c>
      <c r="R313" s="93"/>
      <c r="S313" s="93"/>
      <c r="T313" s="93"/>
      <c r="U313" s="93"/>
      <c r="V313" s="93">
        <v>1.0</v>
      </c>
      <c r="W313" s="93">
        <v>1.0</v>
      </c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 t="str">
        <f t="shared" ref="AP313:AP321" si="102">#REF!</f>
        <v>#REF!</v>
      </c>
      <c r="AQ313" s="95">
        <v>45012.0</v>
      </c>
      <c r="AR313" s="95">
        <v>45012.0</v>
      </c>
      <c r="AS313" s="95">
        <f t="shared" si="101"/>
        <v>45378</v>
      </c>
      <c r="AT313" s="93" t="s">
        <v>1146</v>
      </c>
      <c r="AU313" s="93" t="s">
        <v>1147</v>
      </c>
      <c r="AV313" s="93" t="s">
        <v>1148</v>
      </c>
      <c r="AW313" s="93" t="s">
        <v>1149</v>
      </c>
      <c r="AX313" s="95" t="s">
        <v>99</v>
      </c>
      <c r="AY313" s="93" t="str">
        <f t="shared" ref="AY313:AY321" si="103">#REF!</f>
        <v>#REF!</v>
      </c>
      <c r="AZ313" s="95">
        <f t="shared" si="100"/>
        <v>46171</v>
      </c>
      <c r="BA313" s="95"/>
    </row>
    <row r="314" ht="30.75" customHeight="1">
      <c r="A314" s="93"/>
      <c r="B314" s="94" t="s">
        <v>82</v>
      </c>
      <c r="C314" s="94" t="s">
        <v>83</v>
      </c>
      <c r="D314" s="93">
        <v>15.0</v>
      </c>
      <c r="E314" s="93" t="s">
        <v>336</v>
      </c>
      <c r="F314" s="93" t="s">
        <v>98</v>
      </c>
      <c r="G314" s="93" t="s">
        <v>86</v>
      </c>
      <c r="H314" s="93" t="s">
        <v>1144</v>
      </c>
      <c r="I314" s="93" t="s">
        <v>88</v>
      </c>
      <c r="J314" s="93" t="s">
        <v>1135</v>
      </c>
      <c r="K314" s="93" t="s">
        <v>902</v>
      </c>
      <c r="L314" s="93" t="s">
        <v>919</v>
      </c>
      <c r="M314" s="93">
        <v>9117143.0</v>
      </c>
      <c r="N314" s="93" t="s">
        <v>920</v>
      </c>
      <c r="O314" s="93" t="s">
        <v>678</v>
      </c>
      <c r="P314" s="93">
        <v>12.0</v>
      </c>
      <c r="Q314" s="93" t="s">
        <v>98</v>
      </c>
      <c r="R314" s="93" t="s">
        <v>98</v>
      </c>
      <c r="S314" s="93" t="s">
        <v>98</v>
      </c>
      <c r="T314" s="93" t="s">
        <v>98</v>
      </c>
      <c r="U314" s="93" t="s">
        <v>98</v>
      </c>
      <c r="V314" s="93" t="s">
        <v>98</v>
      </c>
      <c r="W314" s="93" t="s">
        <v>98</v>
      </c>
      <c r="X314" s="93" t="s">
        <v>98</v>
      </c>
      <c r="Y314" s="93" t="s">
        <v>98</v>
      </c>
      <c r="Z314" s="93" t="s">
        <v>98</v>
      </c>
      <c r="AA314" s="93" t="s">
        <v>98</v>
      </c>
      <c r="AB314" s="93" t="s">
        <v>98</v>
      </c>
      <c r="AC314" s="93" t="s">
        <v>98</v>
      </c>
      <c r="AD314" s="93" t="s">
        <v>98</v>
      </c>
      <c r="AE314" s="93" t="s">
        <v>98</v>
      </c>
      <c r="AF314" s="93" t="s">
        <v>98</v>
      </c>
      <c r="AG314" s="93" t="s">
        <v>98</v>
      </c>
      <c r="AH314" s="93" t="s">
        <v>98</v>
      </c>
      <c r="AI314" s="93" t="s">
        <v>98</v>
      </c>
      <c r="AJ314" s="93" t="s">
        <v>98</v>
      </c>
      <c r="AK314" s="93" t="s">
        <v>98</v>
      </c>
      <c r="AL314" s="93" t="s">
        <v>98</v>
      </c>
      <c r="AM314" s="93" t="s">
        <v>98</v>
      </c>
      <c r="AN314" s="93" t="s">
        <v>98</v>
      </c>
      <c r="AO314" s="93" t="s">
        <v>98</v>
      </c>
      <c r="AP314" s="93" t="str">
        <f t="shared" si="102"/>
        <v>#REF!</v>
      </c>
      <c r="AQ314" s="93" t="s">
        <v>98</v>
      </c>
      <c r="AR314" s="93" t="s">
        <v>98</v>
      </c>
      <c r="AS314" s="95" t="str">
        <f t="shared" si="101"/>
        <v>#VALUE!</v>
      </c>
      <c r="AT314" s="93" t="s">
        <v>98</v>
      </c>
      <c r="AU314" s="93" t="s">
        <v>98</v>
      </c>
      <c r="AV314" s="93" t="s">
        <v>98</v>
      </c>
      <c r="AW314" s="93" t="s">
        <v>98</v>
      </c>
      <c r="AX314" s="93" t="s">
        <v>113</v>
      </c>
      <c r="AY314" s="93" t="str">
        <f t="shared" si="103"/>
        <v>#REF!</v>
      </c>
      <c r="AZ314" s="95">
        <f t="shared" si="100"/>
        <v>46171</v>
      </c>
      <c r="BA314" s="95"/>
    </row>
    <row r="315" ht="30.75" customHeight="1">
      <c r="A315" s="93" t="s">
        <v>81</v>
      </c>
      <c r="B315" s="94" t="s">
        <v>82</v>
      </c>
      <c r="C315" s="94" t="s">
        <v>83</v>
      </c>
      <c r="D315" s="93">
        <v>14.0</v>
      </c>
      <c r="E315" s="93" t="s">
        <v>173</v>
      </c>
      <c r="F315" s="93" t="s">
        <v>98</v>
      </c>
      <c r="G315" s="93" t="s">
        <v>86</v>
      </c>
      <c r="H315" s="93" t="s">
        <v>1150</v>
      </c>
      <c r="I315" s="93" t="s">
        <v>88</v>
      </c>
      <c r="J315" s="93" t="s">
        <v>1135</v>
      </c>
      <c r="K315" s="93" t="s">
        <v>902</v>
      </c>
      <c r="L315" s="93" t="s">
        <v>1054</v>
      </c>
      <c r="M315" s="93">
        <v>4022712.0</v>
      </c>
      <c r="N315" s="93" t="s">
        <v>98</v>
      </c>
      <c r="O315" s="93" t="s">
        <v>942</v>
      </c>
      <c r="P315" s="93">
        <v>12.0</v>
      </c>
      <c r="Q315" s="93" t="s">
        <v>98</v>
      </c>
      <c r="R315" s="93" t="s">
        <v>98</v>
      </c>
      <c r="S315" s="93" t="s">
        <v>98</v>
      </c>
      <c r="T315" s="93" t="s">
        <v>98</v>
      </c>
      <c r="U315" s="93" t="s">
        <v>98</v>
      </c>
      <c r="V315" s="93" t="s">
        <v>98</v>
      </c>
      <c r="W315" s="93" t="s">
        <v>98</v>
      </c>
      <c r="X315" s="93" t="s">
        <v>98</v>
      </c>
      <c r="Y315" s="93" t="s">
        <v>98</v>
      </c>
      <c r="Z315" s="93" t="s">
        <v>98</v>
      </c>
      <c r="AA315" s="93" t="s">
        <v>98</v>
      </c>
      <c r="AB315" s="93" t="s">
        <v>98</v>
      </c>
      <c r="AC315" s="93" t="s">
        <v>98</v>
      </c>
      <c r="AD315" s="93" t="s">
        <v>98</v>
      </c>
      <c r="AE315" s="93" t="s">
        <v>98</v>
      </c>
      <c r="AF315" s="93" t="s">
        <v>98</v>
      </c>
      <c r="AG315" s="93" t="s">
        <v>98</v>
      </c>
      <c r="AH315" s="93" t="s">
        <v>98</v>
      </c>
      <c r="AI315" s="93" t="s">
        <v>98</v>
      </c>
      <c r="AJ315" s="93" t="s">
        <v>98</v>
      </c>
      <c r="AK315" s="93" t="s">
        <v>98</v>
      </c>
      <c r="AL315" s="93" t="s">
        <v>98</v>
      </c>
      <c r="AM315" s="93" t="s">
        <v>98</v>
      </c>
      <c r="AN315" s="93" t="s">
        <v>98</v>
      </c>
      <c r="AO315" s="93" t="s">
        <v>98</v>
      </c>
      <c r="AP315" s="93" t="str">
        <f t="shared" si="102"/>
        <v>#REF!</v>
      </c>
      <c r="AQ315" s="93" t="s">
        <v>98</v>
      </c>
      <c r="AR315" s="93" t="s">
        <v>98</v>
      </c>
      <c r="AS315" s="95" t="str">
        <f t="shared" si="101"/>
        <v>#VALUE!</v>
      </c>
      <c r="AT315" s="93" t="s">
        <v>98</v>
      </c>
      <c r="AU315" s="93" t="s">
        <v>98</v>
      </c>
      <c r="AV315" s="93" t="s">
        <v>98</v>
      </c>
      <c r="AW315" s="93" t="s">
        <v>98</v>
      </c>
      <c r="AX315" s="93" t="s">
        <v>113</v>
      </c>
      <c r="AY315" s="93" t="str">
        <f t="shared" si="103"/>
        <v>#REF!</v>
      </c>
      <c r="AZ315" s="95">
        <f t="shared" si="100"/>
        <v>46171</v>
      </c>
      <c r="BA315" s="95"/>
    </row>
    <row r="316" ht="30.75" customHeight="1">
      <c r="A316" s="93"/>
      <c r="B316" s="94" t="s">
        <v>82</v>
      </c>
      <c r="C316" s="110" t="s">
        <v>83</v>
      </c>
      <c r="D316" s="93">
        <v>47.0</v>
      </c>
      <c r="E316" s="111" t="s">
        <v>108</v>
      </c>
      <c r="F316" s="93" t="s">
        <v>98</v>
      </c>
      <c r="G316" s="93" t="s">
        <v>86</v>
      </c>
      <c r="H316" s="93" t="s">
        <v>1151</v>
      </c>
      <c r="I316" s="93" t="s">
        <v>88</v>
      </c>
      <c r="J316" s="93" t="s">
        <v>1135</v>
      </c>
      <c r="K316" s="93" t="s">
        <v>902</v>
      </c>
      <c r="L316" s="93" t="s">
        <v>1152</v>
      </c>
      <c r="M316" s="93">
        <v>5068437.0</v>
      </c>
      <c r="N316" s="93" t="s">
        <v>920</v>
      </c>
      <c r="O316" s="93" t="s">
        <v>942</v>
      </c>
      <c r="P316" s="111">
        <v>12.0</v>
      </c>
      <c r="Q316" s="111" t="s">
        <v>98</v>
      </c>
      <c r="R316" s="93" t="s">
        <v>98</v>
      </c>
      <c r="S316" s="93" t="s">
        <v>98</v>
      </c>
      <c r="T316" s="93" t="s">
        <v>98</v>
      </c>
      <c r="U316" s="93" t="s">
        <v>98</v>
      </c>
      <c r="V316" s="93" t="s">
        <v>98</v>
      </c>
      <c r="W316" s="93" t="s">
        <v>98</v>
      </c>
      <c r="X316" s="93" t="s">
        <v>98</v>
      </c>
      <c r="Y316" s="93" t="s">
        <v>98</v>
      </c>
      <c r="Z316" s="93" t="s">
        <v>98</v>
      </c>
      <c r="AA316" s="93" t="s">
        <v>98</v>
      </c>
      <c r="AB316" s="93" t="s">
        <v>98</v>
      </c>
      <c r="AC316" s="93" t="s">
        <v>98</v>
      </c>
      <c r="AD316" s="93" t="s">
        <v>98</v>
      </c>
      <c r="AE316" s="93" t="s">
        <v>98</v>
      </c>
      <c r="AF316" s="93" t="s">
        <v>98</v>
      </c>
      <c r="AG316" s="93" t="s">
        <v>98</v>
      </c>
      <c r="AH316" s="93" t="s">
        <v>98</v>
      </c>
      <c r="AI316" s="93" t="s">
        <v>98</v>
      </c>
      <c r="AJ316" s="93" t="s">
        <v>98</v>
      </c>
      <c r="AK316" s="93" t="s">
        <v>98</v>
      </c>
      <c r="AL316" s="93" t="s">
        <v>98</v>
      </c>
      <c r="AM316" s="93" t="s">
        <v>98</v>
      </c>
      <c r="AN316" s="93" t="s">
        <v>98</v>
      </c>
      <c r="AO316" s="93" t="s">
        <v>98</v>
      </c>
      <c r="AP316" s="93" t="str">
        <f t="shared" si="102"/>
        <v>#REF!</v>
      </c>
      <c r="AQ316" s="93" t="s">
        <v>98</v>
      </c>
      <c r="AR316" s="93" t="s">
        <v>98</v>
      </c>
      <c r="AS316" s="95" t="str">
        <f t="shared" si="101"/>
        <v>#VALUE!</v>
      </c>
      <c r="AT316" s="93" t="s">
        <v>98</v>
      </c>
      <c r="AU316" s="93" t="s">
        <v>98</v>
      </c>
      <c r="AV316" s="93" t="s">
        <v>98</v>
      </c>
      <c r="AW316" s="93" t="s">
        <v>98</v>
      </c>
      <c r="AX316" s="93" t="s">
        <v>113</v>
      </c>
      <c r="AY316" s="93" t="str">
        <f t="shared" si="103"/>
        <v>#REF!</v>
      </c>
      <c r="AZ316" s="95">
        <f t="shared" si="100"/>
        <v>46171</v>
      </c>
      <c r="BA316" s="95"/>
    </row>
    <row r="317" ht="30.75" customHeight="1">
      <c r="A317" s="93"/>
      <c r="B317" s="94" t="s">
        <v>82</v>
      </c>
      <c r="C317" s="110" t="s">
        <v>83</v>
      </c>
      <c r="D317" s="93">
        <v>48.0</v>
      </c>
      <c r="E317" s="111" t="s">
        <v>108</v>
      </c>
      <c r="F317" s="93" t="s">
        <v>98</v>
      </c>
      <c r="G317" s="93" t="s">
        <v>86</v>
      </c>
      <c r="H317" s="93" t="s">
        <v>1151</v>
      </c>
      <c r="I317" s="93" t="s">
        <v>88</v>
      </c>
      <c r="J317" s="93" t="s">
        <v>1135</v>
      </c>
      <c r="K317" s="93" t="s">
        <v>902</v>
      </c>
      <c r="L317" s="93" t="s">
        <v>1152</v>
      </c>
      <c r="M317" s="93">
        <v>5068437.0</v>
      </c>
      <c r="N317" s="93" t="s">
        <v>920</v>
      </c>
      <c r="O317" s="93" t="s">
        <v>942</v>
      </c>
      <c r="P317" s="111">
        <v>12.0</v>
      </c>
      <c r="Q317" s="111" t="s">
        <v>98</v>
      </c>
      <c r="R317" s="93" t="s">
        <v>98</v>
      </c>
      <c r="S317" s="93" t="s">
        <v>98</v>
      </c>
      <c r="T317" s="93" t="s">
        <v>98</v>
      </c>
      <c r="U317" s="93" t="s">
        <v>98</v>
      </c>
      <c r="V317" s="93" t="s">
        <v>98</v>
      </c>
      <c r="W317" s="93" t="s">
        <v>98</v>
      </c>
      <c r="X317" s="93" t="s">
        <v>98</v>
      </c>
      <c r="Y317" s="93" t="s">
        <v>98</v>
      </c>
      <c r="Z317" s="93" t="s">
        <v>98</v>
      </c>
      <c r="AA317" s="93" t="s">
        <v>98</v>
      </c>
      <c r="AB317" s="93" t="s">
        <v>98</v>
      </c>
      <c r="AC317" s="93" t="s">
        <v>98</v>
      </c>
      <c r="AD317" s="93" t="s">
        <v>98</v>
      </c>
      <c r="AE317" s="93" t="s">
        <v>98</v>
      </c>
      <c r="AF317" s="93" t="s">
        <v>98</v>
      </c>
      <c r="AG317" s="93" t="s">
        <v>98</v>
      </c>
      <c r="AH317" s="93" t="s">
        <v>98</v>
      </c>
      <c r="AI317" s="93" t="s">
        <v>98</v>
      </c>
      <c r="AJ317" s="93" t="s">
        <v>98</v>
      </c>
      <c r="AK317" s="93" t="s">
        <v>98</v>
      </c>
      <c r="AL317" s="93" t="s">
        <v>98</v>
      </c>
      <c r="AM317" s="93" t="s">
        <v>98</v>
      </c>
      <c r="AN317" s="93" t="s">
        <v>98</v>
      </c>
      <c r="AO317" s="93" t="s">
        <v>98</v>
      </c>
      <c r="AP317" s="93" t="str">
        <f t="shared" si="102"/>
        <v>#REF!</v>
      </c>
      <c r="AQ317" s="93" t="s">
        <v>98</v>
      </c>
      <c r="AR317" s="93" t="s">
        <v>98</v>
      </c>
      <c r="AS317" s="95" t="str">
        <f t="shared" si="101"/>
        <v>#VALUE!</v>
      </c>
      <c r="AT317" s="93" t="s">
        <v>98</v>
      </c>
      <c r="AU317" s="93" t="s">
        <v>98</v>
      </c>
      <c r="AV317" s="93" t="s">
        <v>98</v>
      </c>
      <c r="AW317" s="93" t="s">
        <v>98</v>
      </c>
      <c r="AX317" s="93" t="s">
        <v>113</v>
      </c>
      <c r="AY317" s="93" t="str">
        <f t="shared" si="103"/>
        <v>#REF!</v>
      </c>
      <c r="AZ317" s="95">
        <f t="shared" si="100"/>
        <v>46171</v>
      </c>
      <c r="BA317" s="95"/>
    </row>
    <row r="318" ht="30.75" customHeight="1">
      <c r="A318" s="93" t="s">
        <v>81</v>
      </c>
      <c r="B318" s="94" t="s">
        <v>82</v>
      </c>
      <c r="C318" s="94" t="s">
        <v>83</v>
      </c>
      <c r="D318" s="93">
        <v>17.0</v>
      </c>
      <c r="E318" s="93" t="s">
        <v>116</v>
      </c>
      <c r="F318" s="93"/>
      <c r="G318" s="93" t="s">
        <v>86</v>
      </c>
      <c r="H318" s="93" t="s">
        <v>1153</v>
      </c>
      <c r="I318" s="93" t="s">
        <v>88</v>
      </c>
      <c r="J318" s="93" t="s">
        <v>1154</v>
      </c>
      <c r="K318" s="93" t="s">
        <v>902</v>
      </c>
      <c r="L318" s="93" t="s">
        <v>933</v>
      </c>
      <c r="M318" s="102">
        <v>5068205.0</v>
      </c>
      <c r="N318" s="93" t="s">
        <v>920</v>
      </c>
      <c r="O318" s="93" t="s">
        <v>652</v>
      </c>
      <c r="P318" s="93">
        <v>12.0</v>
      </c>
      <c r="Q318" s="93">
        <v>1.0</v>
      </c>
      <c r="R318" s="93"/>
      <c r="S318" s="93"/>
      <c r="T318" s="93"/>
      <c r="U318" s="93"/>
      <c r="V318" s="93">
        <v>1.0</v>
      </c>
      <c r="W318" s="93">
        <v>1.0</v>
      </c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 t="str">
        <f t="shared" si="102"/>
        <v>#REF!</v>
      </c>
      <c r="AQ318" s="95">
        <v>45008.0</v>
      </c>
      <c r="AR318" s="95">
        <v>45008.0</v>
      </c>
      <c r="AS318" s="95">
        <f t="shared" si="101"/>
        <v>45374</v>
      </c>
      <c r="AT318" s="93" t="s">
        <v>1155</v>
      </c>
      <c r="AU318" s="93" t="s">
        <v>1156</v>
      </c>
      <c r="AV318" s="93" t="s">
        <v>1157</v>
      </c>
      <c r="AW318" s="93" t="s">
        <v>1158</v>
      </c>
      <c r="AX318" s="95" t="s">
        <v>99</v>
      </c>
      <c r="AY318" s="93" t="str">
        <f t="shared" si="103"/>
        <v>#REF!</v>
      </c>
      <c r="AZ318" s="95"/>
      <c r="BA318" s="95"/>
    </row>
    <row r="319" ht="30.75" customHeight="1">
      <c r="A319" s="93"/>
      <c r="B319" s="94" t="s">
        <v>82</v>
      </c>
      <c r="C319" s="94" t="s">
        <v>83</v>
      </c>
      <c r="D319" s="93">
        <v>21.0</v>
      </c>
      <c r="E319" s="93" t="s">
        <v>153</v>
      </c>
      <c r="F319" s="93" t="s">
        <v>98</v>
      </c>
      <c r="G319" s="93" t="s">
        <v>86</v>
      </c>
      <c r="H319" s="93" t="s">
        <v>1159</v>
      </c>
      <c r="I319" s="93" t="s">
        <v>88</v>
      </c>
      <c r="J319" s="93" t="s">
        <v>1160</v>
      </c>
      <c r="K319" s="93" t="s">
        <v>902</v>
      </c>
      <c r="L319" s="93" t="s">
        <v>933</v>
      </c>
      <c r="M319" s="93">
        <v>6039750.0</v>
      </c>
      <c r="N319" s="93" t="s">
        <v>920</v>
      </c>
      <c r="O319" s="93" t="s">
        <v>678</v>
      </c>
      <c r="P319" s="93">
        <v>12.0</v>
      </c>
      <c r="Q319" s="93">
        <v>1.0</v>
      </c>
      <c r="R319" s="93"/>
      <c r="S319" s="93"/>
      <c r="T319" s="93"/>
      <c r="U319" s="93"/>
      <c r="V319" s="93">
        <v>1.0</v>
      </c>
      <c r="W319" s="93">
        <v>1.0</v>
      </c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 t="str">
        <f t="shared" si="102"/>
        <v>#REF!</v>
      </c>
      <c r="AQ319" s="95">
        <v>45012.0</v>
      </c>
      <c r="AR319" s="95">
        <v>45012.0</v>
      </c>
      <c r="AS319" s="95">
        <f t="shared" si="101"/>
        <v>45378</v>
      </c>
      <c r="AT319" s="93" t="s">
        <v>1161</v>
      </c>
      <c r="AU319" s="93" t="s">
        <v>1162</v>
      </c>
      <c r="AV319" s="93" t="s">
        <v>1163</v>
      </c>
      <c r="AW319" s="93" t="s">
        <v>1164</v>
      </c>
      <c r="AX319" s="95" t="s">
        <v>99</v>
      </c>
      <c r="AY319" s="93" t="str">
        <f t="shared" si="103"/>
        <v>#REF!</v>
      </c>
      <c r="AZ319" s="95">
        <f t="shared" ref="AZ319:AZ334" si="104">TODAY()</f>
        <v>46171</v>
      </c>
      <c r="BA319" s="95"/>
    </row>
    <row r="320" ht="30.75" customHeight="1">
      <c r="A320" s="93"/>
      <c r="B320" s="94" t="s">
        <v>82</v>
      </c>
      <c r="C320" s="94" t="s">
        <v>83</v>
      </c>
      <c r="D320" s="93">
        <v>22.0</v>
      </c>
      <c r="E320" s="93" t="s">
        <v>153</v>
      </c>
      <c r="F320" s="93" t="s">
        <v>98</v>
      </c>
      <c r="G320" s="93" t="s">
        <v>86</v>
      </c>
      <c r="H320" s="93" t="s">
        <v>1159</v>
      </c>
      <c r="I320" s="93" t="s">
        <v>88</v>
      </c>
      <c r="J320" s="93" t="s">
        <v>1160</v>
      </c>
      <c r="K320" s="93" t="s">
        <v>902</v>
      </c>
      <c r="L320" s="93" t="s">
        <v>933</v>
      </c>
      <c r="M320" s="93">
        <v>6039750.0</v>
      </c>
      <c r="N320" s="93" t="s">
        <v>904</v>
      </c>
      <c r="O320" s="93" t="s">
        <v>678</v>
      </c>
      <c r="P320" s="93">
        <v>12.0</v>
      </c>
      <c r="Q320" s="93">
        <v>12.0</v>
      </c>
      <c r="R320" s="93"/>
      <c r="S320" s="93"/>
      <c r="T320" s="93"/>
      <c r="U320" s="93"/>
      <c r="V320" s="93">
        <v>1.0</v>
      </c>
      <c r="W320" s="93">
        <v>1.0</v>
      </c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 t="str">
        <f t="shared" si="102"/>
        <v>#REF!</v>
      </c>
      <c r="AQ320" s="95">
        <v>45012.0</v>
      </c>
      <c r="AR320" s="95">
        <v>45012.0</v>
      </c>
      <c r="AS320" s="95">
        <f t="shared" si="101"/>
        <v>45378</v>
      </c>
      <c r="AT320" s="93" t="s">
        <v>1161</v>
      </c>
      <c r="AU320" s="93" t="s">
        <v>98</v>
      </c>
      <c r="AV320" s="93" t="s">
        <v>98</v>
      </c>
      <c r="AW320" s="93" t="s">
        <v>98</v>
      </c>
      <c r="AX320" s="93" t="s">
        <v>99</v>
      </c>
      <c r="AY320" s="93" t="str">
        <f t="shared" si="103"/>
        <v>#REF!</v>
      </c>
      <c r="AZ320" s="95">
        <f t="shared" si="104"/>
        <v>46171</v>
      </c>
      <c r="BA320" s="95"/>
    </row>
    <row r="321" ht="30.75" customHeight="1">
      <c r="A321" s="93"/>
      <c r="B321" s="94" t="s">
        <v>82</v>
      </c>
      <c r="C321" s="94" t="s">
        <v>83</v>
      </c>
      <c r="D321" s="94">
        <v>55.0</v>
      </c>
      <c r="E321" s="93" t="s">
        <v>84</v>
      </c>
      <c r="F321" s="93"/>
      <c r="G321" s="93" t="s">
        <v>86</v>
      </c>
      <c r="H321" s="93" t="s">
        <v>1165</v>
      </c>
      <c r="I321" s="93"/>
      <c r="J321" s="93" t="s">
        <v>1166</v>
      </c>
      <c r="K321" s="93" t="s">
        <v>1167</v>
      </c>
      <c r="L321" s="93" t="s">
        <v>1168</v>
      </c>
      <c r="M321" s="93" t="s">
        <v>1169</v>
      </c>
      <c r="N321" s="93" t="s">
        <v>98</v>
      </c>
      <c r="O321" s="93" t="s">
        <v>678</v>
      </c>
      <c r="P321" s="93">
        <v>12.0</v>
      </c>
      <c r="Q321" s="93" t="s">
        <v>98</v>
      </c>
      <c r="R321" s="93" t="s">
        <v>98</v>
      </c>
      <c r="S321" s="93" t="s">
        <v>98</v>
      </c>
      <c r="T321" s="93" t="s">
        <v>98</v>
      </c>
      <c r="U321" s="93" t="s">
        <v>98</v>
      </c>
      <c r="V321" s="93" t="s">
        <v>98</v>
      </c>
      <c r="W321" s="93" t="s">
        <v>98</v>
      </c>
      <c r="X321" s="93" t="s">
        <v>98</v>
      </c>
      <c r="Y321" s="93" t="s">
        <v>98</v>
      </c>
      <c r="Z321" s="93" t="s">
        <v>98</v>
      </c>
      <c r="AA321" s="93" t="s">
        <v>98</v>
      </c>
      <c r="AB321" s="93" t="s">
        <v>98</v>
      </c>
      <c r="AC321" s="93" t="s">
        <v>98</v>
      </c>
      <c r="AD321" s="93" t="s">
        <v>98</v>
      </c>
      <c r="AE321" s="93" t="s">
        <v>98</v>
      </c>
      <c r="AF321" s="93" t="s">
        <v>98</v>
      </c>
      <c r="AG321" s="93" t="s">
        <v>98</v>
      </c>
      <c r="AH321" s="93" t="s">
        <v>98</v>
      </c>
      <c r="AI321" s="93" t="s">
        <v>98</v>
      </c>
      <c r="AJ321" s="93" t="s">
        <v>98</v>
      </c>
      <c r="AK321" s="93" t="s">
        <v>98</v>
      </c>
      <c r="AL321" s="93" t="s">
        <v>98</v>
      </c>
      <c r="AM321" s="93" t="s">
        <v>98</v>
      </c>
      <c r="AN321" s="93" t="s">
        <v>98</v>
      </c>
      <c r="AO321" s="93" t="s">
        <v>98</v>
      </c>
      <c r="AP321" s="93" t="str">
        <f t="shared" si="102"/>
        <v>#REF!</v>
      </c>
      <c r="AQ321" s="93" t="s">
        <v>98</v>
      </c>
      <c r="AR321" s="93" t="s">
        <v>98</v>
      </c>
      <c r="AS321" s="95" t="str">
        <f t="shared" si="101"/>
        <v>#VALUE!</v>
      </c>
      <c r="AT321" s="93" t="s">
        <v>98</v>
      </c>
      <c r="AU321" s="93" t="s">
        <v>98</v>
      </c>
      <c r="AV321" s="93" t="s">
        <v>98</v>
      </c>
      <c r="AW321" s="93" t="s">
        <v>98</v>
      </c>
      <c r="AX321" s="93" t="s">
        <v>113</v>
      </c>
      <c r="AY321" s="93" t="str">
        <f t="shared" si="103"/>
        <v>#REF!</v>
      </c>
      <c r="AZ321" s="95">
        <f t="shared" si="104"/>
        <v>46171</v>
      </c>
      <c r="BA321" s="95"/>
    </row>
    <row r="322" ht="30.75" customHeight="1">
      <c r="A322" s="93"/>
      <c r="B322" s="94" t="s">
        <v>82</v>
      </c>
      <c r="C322" s="94" t="s">
        <v>83</v>
      </c>
      <c r="D322" s="93"/>
      <c r="E322" s="93" t="s">
        <v>545</v>
      </c>
      <c r="F322" s="93"/>
      <c r="G322" s="93" t="s">
        <v>86</v>
      </c>
      <c r="H322" s="93" t="s">
        <v>98</v>
      </c>
      <c r="I322" s="93"/>
      <c r="J322" s="93" t="s">
        <v>1160</v>
      </c>
      <c r="K322" s="93" t="s">
        <v>1049</v>
      </c>
      <c r="L322" s="93" t="s">
        <v>1170</v>
      </c>
      <c r="M322" s="93" t="s">
        <v>1171</v>
      </c>
      <c r="N322" s="93"/>
      <c r="O322" s="93"/>
      <c r="P322" s="93">
        <v>12.0</v>
      </c>
      <c r="Q322" s="93">
        <v>1.0</v>
      </c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>
        <v>1.0</v>
      </c>
      <c r="AC322" s="93">
        <v>1.0</v>
      </c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5" t="s">
        <v>95</v>
      </c>
      <c r="AR322" s="95" t="s">
        <v>95</v>
      </c>
      <c r="AS322" s="95" t="str">
        <f t="shared" si="101"/>
        <v>#VALUE!</v>
      </c>
      <c r="AT322" s="93" t="s">
        <v>1172</v>
      </c>
      <c r="AU322" s="93"/>
      <c r="AV322" s="93"/>
      <c r="AW322" s="93"/>
      <c r="AX322" s="95"/>
      <c r="AY322" s="93"/>
      <c r="AZ322" s="95">
        <f t="shared" si="104"/>
        <v>46171</v>
      </c>
      <c r="BA322" s="95"/>
    </row>
    <row r="323" ht="30.75" customHeight="1">
      <c r="A323" s="93" t="s">
        <v>81</v>
      </c>
      <c r="B323" s="94" t="s">
        <v>82</v>
      </c>
      <c r="C323" s="94" t="s">
        <v>83</v>
      </c>
      <c r="D323" s="93">
        <v>20.0</v>
      </c>
      <c r="E323" s="93" t="s">
        <v>153</v>
      </c>
      <c r="F323" s="93" t="s">
        <v>98</v>
      </c>
      <c r="G323" s="93" t="s">
        <v>86</v>
      </c>
      <c r="H323" s="93" t="s">
        <v>1173</v>
      </c>
      <c r="I323" s="93" t="s">
        <v>88</v>
      </c>
      <c r="J323" s="93" t="s">
        <v>1174</v>
      </c>
      <c r="K323" s="93" t="s">
        <v>902</v>
      </c>
      <c r="L323" s="93" t="s">
        <v>933</v>
      </c>
      <c r="M323" s="93" t="s">
        <v>1175</v>
      </c>
      <c r="N323" s="93" t="s">
        <v>904</v>
      </c>
      <c r="O323" s="93" t="s">
        <v>678</v>
      </c>
      <c r="P323" s="93">
        <v>12.0</v>
      </c>
      <c r="Q323" s="93">
        <v>12.0</v>
      </c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>
        <v>1.0</v>
      </c>
      <c r="AI323" s="93">
        <v>1.0</v>
      </c>
      <c r="AJ323" s="93"/>
      <c r="AK323" s="93"/>
      <c r="AL323" s="93"/>
      <c r="AM323" s="93"/>
      <c r="AN323" s="93"/>
      <c r="AO323" s="93"/>
      <c r="AP323" s="93" t="str">
        <f>#REF!</f>
        <v>#REF!</v>
      </c>
      <c r="AQ323" s="93" t="s">
        <v>924</v>
      </c>
      <c r="AR323" s="93" t="s">
        <v>924</v>
      </c>
      <c r="AS323" s="93" t="s">
        <v>925</v>
      </c>
      <c r="AT323" s="93" t="s">
        <v>1176</v>
      </c>
      <c r="AU323" s="93" t="s">
        <v>98</v>
      </c>
      <c r="AV323" s="93" t="s">
        <v>98</v>
      </c>
      <c r="AW323" s="93" t="s">
        <v>98</v>
      </c>
      <c r="AX323" s="93" t="s">
        <v>99</v>
      </c>
      <c r="AY323" s="93" t="str">
        <f t="shared" ref="AY323:AY334" si="105">#REF!</f>
        <v>#REF!</v>
      </c>
      <c r="AZ323" s="95">
        <f t="shared" si="104"/>
        <v>46171</v>
      </c>
      <c r="BA323" s="95"/>
    </row>
    <row r="324" ht="30.75" customHeight="1">
      <c r="A324" s="93" t="s">
        <v>114</v>
      </c>
      <c r="B324" s="94" t="s">
        <v>107</v>
      </c>
      <c r="C324" s="93" t="s">
        <v>206</v>
      </c>
      <c r="D324" s="93">
        <v>1.0</v>
      </c>
      <c r="E324" s="93" t="s">
        <v>173</v>
      </c>
      <c r="F324" s="93" t="s">
        <v>98</v>
      </c>
      <c r="G324" s="93" t="s">
        <v>86</v>
      </c>
      <c r="H324" s="93" t="s">
        <v>98</v>
      </c>
      <c r="I324" s="93" t="s">
        <v>118</v>
      </c>
      <c r="J324" s="93" t="s">
        <v>1177</v>
      </c>
      <c r="K324" s="93" t="s">
        <v>1178</v>
      </c>
      <c r="L324" s="93" t="s">
        <v>1179</v>
      </c>
      <c r="M324" s="93"/>
      <c r="N324" s="93" t="s">
        <v>123</v>
      </c>
      <c r="O324" s="93" t="s">
        <v>124</v>
      </c>
      <c r="P324" s="93">
        <v>4.0</v>
      </c>
      <c r="Q324" s="93">
        <v>12.0</v>
      </c>
      <c r="R324" s="93"/>
      <c r="S324" s="93"/>
      <c r="T324" s="93">
        <v>1.0</v>
      </c>
      <c r="U324" s="93">
        <v>1.0</v>
      </c>
      <c r="V324" s="93"/>
      <c r="W324" s="93"/>
      <c r="X324" s="93"/>
      <c r="Y324" s="93"/>
      <c r="Z324" s="93">
        <v>1.0</v>
      </c>
      <c r="AA324" s="93"/>
      <c r="AB324" s="93"/>
      <c r="AC324" s="93"/>
      <c r="AD324" s="93"/>
      <c r="AE324" s="93"/>
      <c r="AF324" s="93">
        <v>1.0</v>
      </c>
      <c r="AG324" s="93"/>
      <c r="AH324" s="93"/>
      <c r="AI324" s="93"/>
      <c r="AJ324" s="93"/>
      <c r="AK324" s="93"/>
      <c r="AL324" s="93">
        <v>1.0</v>
      </c>
      <c r="AM324" s="93"/>
      <c r="AN324" s="93"/>
      <c r="AO324" s="93"/>
      <c r="AP324" s="93"/>
      <c r="AQ324" s="93" t="s">
        <v>1180</v>
      </c>
      <c r="AR324" s="93" t="s">
        <v>1180</v>
      </c>
      <c r="AS324" s="95" t="str">
        <f t="shared" ref="AS324:AS334" si="106">DATE(YEAR(AQ324),MONTH(AQ324)+Q324,DAY(AQ324))</f>
        <v>#VALUE!</v>
      </c>
      <c r="AT324" s="93"/>
      <c r="AU324" s="103"/>
      <c r="AV324" s="93"/>
      <c r="AW324" s="103"/>
      <c r="AX324" s="93" t="s">
        <v>1181</v>
      </c>
      <c r="AY324" s="93" t="str">
        <f t="shared" si="105"/>
        <v>#REF!</v>
      </c>
      <c r="AZ324" s="95">
        <f t="shared" si="104"/>
        <v>46171</v>
      </c>
      <c r="BA324" s="93"/>
    </row>
    <row r="325" ht="30.75" customHeight="1">
      <c r="A325" s="93" t="s">
        <v>114</v>
      </c>
      <c r="B325" s="94" t="s">
        <v>107</v>
      </c>
      <c r="C325" s="93" t="s">
        <v>206</v>
      </c>
      <c r="D325" s="93">
        <v>2.0</v>
      </c>
      <c r="E325" s="93" t="s">
        <v>173</v>
      </c>
      <c r="F325" s="93" t="s">
        <v>98</v>
      </c>
      <c r="G325" s="93" t="s">
        <v>86</v>
      </c>
      <c r="H325" s="93" t="s">
        <v>1182</v>
      </c>
      <c r="I325" s="93" t="s">
        <v>118</v>
      </c>
      <c r="J325" s="93" t="s">
        <v>379</v>
      </c>
      <c r="K325" s="93" t="s">
        <v>1183</v>
      </c>
      <c r="L325" s="93" t="s">
        <v>1184</v>
      </c>
      <c r="M325" s="93" t="s">
        <v>1185</v>
      </c>
      <c r="N325" s="93" t="s">
        <v>123</v>
      </c>
      <c r="O325" s="93" t="s">
        <v>124</v>
      </c>
      <c r="P325" s="93">
        <v>12.0</v>
      </c>
      <c r="Q325" s="93">
        <v>12.0</v>
      </c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 t="s">
        <v>1180</v>
      </c>
      <c r="AR325" s="93" t="s">
        <v>1180</v>
      </c>
      <c r="AS325" s="95" t="str">
        <f t="shared" si="106"/>
        <v>#VALUE!</v>
      </c>
      <c r="AT325" s="93"/>
      <c r="AU325" s="103"/>
      <c r="AV325" s="93"/>
      <c r="AW325" s="103"/>
      <c r="AX325" s="93"/>
      <c r="AY325" s="93" t="str">
        <f t="shared" si="105"/>
        <v>#REF!</v>
      </c>
      <c r="AZ325" s="95">
        <f t="shared" si="104"/>
        <v>46171</v>
      </c>
      <c r="BA325" s="93"/>
    </row>
    <row r="326" ht="30.75" customHeight="1">
      <c r="A326" s="93" t="s">
        <v>114</v>
      </c>
      <c r="B326" s="94" t="s">
        <v>107</v>
      </c>
      <c r="C326" s="93" t="s">
        <v>206</v>
      </c>
      <c r="D326" s="93">
        <v>3.0</v>
      </c>
      <c r="E326" s="93" t="s">
        <v>173</v>
      </c>
      <c r="F326" s="93" t="s">
        <v>98</v>
      </c>
      <c r="G326" s="93" t="s">
        <v>86</v>
      </c>
      <c r="H326" s="93" t="s">
        <v>1186</v>
      </c>
      <c r="I326" s="93" t="s">
        <v>118</v>
      </c>
      <c r="J326" s="93" t="s">
        <v>239</v>
      </c>
      <c r="K326" s="93" t="s">
        <v>220</v>
      </c>
      <c r="L326" s="93" t="s">
        <v>221</v>
      </c>
      <c r="M326" s="93"/>
      <c r="N326" s="93" t="s">
        <v>123</v>
      </c>
      <c r="O326" s="93" t="s">
        <v>124</v>
      </c>
      <c r="P326" s="93" t="s">
        <v>98</v>
      </c>
      <c r="Q326" s="93" t="s">
        <v>98</v>
      </c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 t="s">
        <v>1180</v>
      </c>
      <c r="AR326" s="93" t="s">
        <v>1180</v>
      </c>
      <c r="AS326" s="95" t="str">
        <f t="shared" si="106"/>
        <v>#VALUE!</v>
      </c>
      <c r="AT326" s="93"/>
      <c r="AU326" s="103"/>
      <c r="AV326" s="93"/>
      <c r="AW326" s="103"/>
      <c r="AX326" s="93"/>
      <c r="AY326" s="93" t="str">
        <f t="shared" si="105"/>
        <v>#REF!</v>
      </c>
      <c r="AZ326" s="95">
        <f t="shared" si="104"/>
        <v>46171</v>
      </c>
      <c r="BA326" s="93"/>
    </row>
    <row r="327" ht="30.75" customHeight="1">
      <c r="A327" s="93" t="s">
        <v>114</v>
      </c>
      <c r="B327" s="94" t="s">
        <v>107</v>
      </c>
      <c r="C327" s="93" t="s">
        <v>206</v>
      </c>
      <c r="D327" s="93">
        <v>4.0</v>
      </c>
      <c r="E327" s="93" t="s">
        <v>173</v>
      </c>
      <c r="F327" s="93" t="s">
        <v>98</v>
      </c>
      <c r="G327" s="93" t="s">
        <v>86</v>
      </c>
      <c r="H327" s="93" t="s">
        <v>1187</v>
      </c>
      <c r="I327" s="93" t="s">
        <v>118</v>
      </c>
      <c r="J327" s="93" t="s">
        <v>239</v>
      </c>
      <c r="K327" s="93" t="s">
        <v>1188</v>
      </c>
      <c r="L327" s="93" t="s">
        <v>1189</v>
      </c>
      <c r="M327" s="93"/>
      <c r="N327" s="93" t="s">
        <v>123</v>
      </c>
      <c r="O327" s="93" t="s">
        <v>124</v>
      </c>
      <c r="P327" s="93" t="s">
        <v>98</v>
      </c>
      <c r="Q327" s="93" t="s">
        <v>98</v>
      </c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 t="s">
        <v>1180</v>
      </c>
      <c r="AR327" s="93" t="s">
        <v>1180</v>
      </c>
      <c r="AS327" s="95" t="str">
        <f t="shared" si="106"/>
        <v>#VALUE!</v>
      </c>
      <c r="AT327" s="93"/>
      <c r="AU327" s="103"/>
      <c r="AV327" s="93"/>
      <c r="AW327" s="103"/>
      <c r="AX327" s="93"/>
      <c r="AY327" s="93" t="str">
        <f t="shared" si="105"/>
        <v>#REF!</v>
      </c>
      <c r="AZ327" s="95">
        <f t="shared" si="104"/>
        <v>46171</v>
      </c>
      <c r="BA327" s="93"/>
    </row>
    <row r="328" ht="30.75" customHeight="1">
      <c r="A328" s="93" t="s">
        <v>114</v>
      </c>
      <c r="B328" s="94" t="s">
        <v>107</v>
      </c>
      <c r="C328" s="93" t="s">
        <v>206</v>
      </c>
      <c r="D328" s="93">
        <v>5.0</v>
      </c>
      <c r="E328" s="93" t="s">
        <v>173</v>
      </c>
      <c r="F328" s="93" t="s">
        <v>98</v>
      </c>
      <c r="G328" s="93" t="s">
        <v>86</v>
      </c>
      <c r="H328" s="93" t="s">
        <v>98</v>
      </c>
      <c r="I328" s="93" t="s">
        <v>118</v>
      </c>
      <c r="J328" s="93" t="s">
        <v>239</v>
      </c>
      <c r="K328" s="93" t="s">
        <v>220</v>
      </c>
      <c r="L328" s="93" t="s">
        <v>221</v>
      </c>
      <c r="M328" s="93"/>
      <c r="N328" s="93" t="s">
        <v>123</v>
      </c>
      <c r="O328" s="93" t="s">
        <v>124</v>
      </c>
      <c r="P328" s="93">
        <v>4.0</v>
      </c>
      <c r="Q328" s="93" t="s">
        <v>98</v>
      </c>
      <c r="R328" s="93">
        <v>1.0</v>
      </c>
      <c r="S328" s="93"/>
      <c r="T328" s="93"/>
      <c r="U328" s="93"/>
      <c r="V328" s="93"/>
      <c r="W328" s="93"/>
      <c r="X328" s="93">
        <v>1.0</v>
      </c>
      <c r="Y328" s="93"/>
      <c r="Z328" s="93"/>
      <c r="AA328" s="93"/>
      <c r="AB328" s="93"/>
      <c r="AC328" s="93"/>
      <c r="AD328" s="93">
        <v>1.0</v>
      </c>
      <c r="AE328" s="93"/>
      <c r="AF328" s="93"/>
      <c r="AG328" s="93"/>
      <c r="AH328" s="93"/>
      <c r="AI328" s="93"/>
      <c r="AJ328" s="93">
        <v>1.0</v>
      </c>
      <c r="AK328" s="93"/>
      <c r="AL328" s="93"/>
      <c r="AM328" s="93"/>
      <c r="AN328" s="93"/>
      <c r="AO328" s="93"/>
      <c r="AP328" s="93"/>
      <c r="AQ328" s="93" t="s">
        <v>1180</v>
      </c>
      <c r="AR328" s="93" t="s">
        <v>1180</v>
      </c>
      <c r="AS328" s="95" t="str">
        <f t="shared" si="106"/>
        <v>#VALUE!</v>
      </c>
      <c r="AT328" s="93"/>
      <c r="AU328" s="103"/>
      <c r="AV328" s="93"/>
      <c r="AW328" s="103"/>
      <c r="AX328" s="93"/>
      <c r="AY328" s="93" t="str">
        <f t="shared" si="105"/>
        <v>#REF!</v>
      </c>
      <c r="AZ328" s="95">
        <f t="shared" si="104"/>
        <v>46171</v>
      </c>
      <c r="BA328" s="93"/>
    </row>
    <row r="329" ht="30.75" customHeight="1">
      <c r="A329" s="93" t="s">
        <v>114</v>
      </c>
      <c r="B329" s="94" t="s">
        <v>107</v>
      </c>
      <c r="C329" s="93" t="s">
        <v>206</v>
      </c>
      <c r="D329" s="93">
        <v>6.0</v>
      </c>
      <c r="E329" s="93" t="s">
        <v>173</v>
      </c>
      <c r="F329" s="93" t="s">
        <v>98</v>
      </c>
      <c r="G329" s="93" t="s">
        <v>86</v>
      </c>
      <c r="H329" s="93" t="s">
        <v>98</v>
      </c>
      <c r="I329" s="93" t="s">
        <v>118</v>
      </c>
      <c r="J329" s="93" t="s">
        <v>239</v>
      </c>
      <c r="K329" s="93" t="s">
        <v>1188</v>
      </c>
      <c r="L329" s="93" t="s">
        <v>1189</v>
      </c>
      <c r="M329" s="93"/>
      <c r="N329" s="93" t="s">
        <v>123</v>
      </c>
      <c r="O329" s="93" t="s">
        <v>124</v>
      </c>
      <c r="P329" s="93">
        <v>4.0</v>
      </c>
      <c r="Q329" s="93" t="s">
        <v>98</v>
      </c>
      <c r="R329" s="93">
        <v>1.0</v>
      </c>
      <c r="S329" s="93"/>
      <c r="T329" s="93"/>
      <c r="U329" s="93"/>
      <c r="V329" s="93"/>
      <c r="W329" s="93"/>
      <c r="X329" s="93">
        <v>1.0</v>
      </c>
      <c r="Y329" s="93"/>
      <c r="Z329" s="93"/>
      <c r="AA329" s="93"/>
      <c r="AB329" s="93"/>
      <c r="AC329" s="93"/>
      <c r="AD329" s="93">
        <v>1.0</v>
      </c>
      <c r="AE329" s="93"/>
      <c r="AF329" s="93"/>
      <c r="AG329" s="93"/>
      <c r="AH329" s="93"/>
      <c r="AI329" s="93"/>
      <c r="AJ329" s="93">
        <v>1.0</v>
      </c>
      <c r="AK329" s="93"/>
      <c r="AL329" s="93"/>
      <c r="AM329" s="93"/>
      <c r="AN329" s="93"/>
      <c r="AO329" s="93"/>
      <c r="AP329" s="93"/>
      <c r="AQ329" s="93" t="s">
        <v>1180</v>
      </c>
      <c r="AR329" s="93" t="s">
        <v>1180</v>
      </c>
      <c r="AS329" s="95" t="str">
        <f t="shared" si="106"/>
        <v>#VALUE!</v>
      </c>
      <c r="AT329" s="93"/>
      <c r="AU329" s="103"/>
      <c r="AV329" s="93"/>
      <c r="AW329" s="103"/>
      <c r="AX329" s="93"/>
      <c r="AY329" s="93" t="str">
        <f t="shared" si="105"/>
        <v>#REF!</v>
      </c>
      <c r="AZ329" s="95">
        <f t="shared" si="104"/>
        <v>46171</v>
      </c>
      <c r="BA329" s="93"/>
    </row>
    <row r="330" ht="30.75" customHeight="1">
      <c r="A330" s="93" t="s">
        <v>114</v>
      </c>
      <c r="B330" s="94" t="s">
        <v>107</v>
      </c>
      <c r="C330" s="93" t="s">
        <v>206</v>
      </c>
      <c r="D330" s="93">
        <v>7.0</v>
      </c>
      <c r="E330" s="93" t="s">
        <v>173</v>
      </c>
      <c r="F330" s="93" t="s">
        <v>98</v>
      </c>
      <c r="G330" s="93" t="s">
        <v>86</v>
      </c>
      <c r="H330" s="93" t="s">
        <v>98</v>
      </c>
      <c r="I330" s="93" t="s">
        <v>118</v>
      </c>
      <c r="J330" s="93" t="s">
        <v>239</v>
      </c>
      <c r="K330" s="93" t="s">
        <v>1188</v>
      </c>
      <c r="L330" s="93" t="s">
        <v>1189</v>
      </c>
      <c r="M330" s="93"/>
      <c r="N330" s="93" t="s">
        <v>123</v>
      </c>
      <c r="O330" s="93" t="s">
        <v>124</v>
      </c>
      <c r="P330" s="93">
        <v>4.0</v>
      </c>
      <c r="Q330" s="93" t="s">
        <v>98</v>
      </c>
      <c r="R330" s="93">
        <v>1.0</v>
      </c>
      <c r="S330" s="93"/>
      <c r="T330" s="93"/>
      <c r="U330" s="93"/>
      <c r="V330" s="93"/>
      <c r="W330" s="93"/>
      <c r="X330" s="93">
        <v>1.0</v>
      </c>
      <c r="Y330" s="93"/>
      <c r="Z330" s="93"/>
      <c r="AA330" s="93"/>
      <c r="AB330" s="93"/>
      <c r="AC330" s="93"/>
      <c r="AD330" s="93">
        <v>1.0</v>
      </c>
      <c r="AE330" s="93"/>
      <c r="AF330" s="93"/>
      <c r="AG330" s="93"/>
      <c r="AH330" s="93"/>
      <c r="AI330" s="93"/>
      <c r="AJ330" s="93">
        <v>1.0</v>
      </c>
      <c r="AK330" s="93"/>
      <c r="AL330" s="93"/>
      <c r="AM330" s="93"/>
      <c r="AN330" s="93"/>
      <c r="AO330" s="93"/>
      <c r="AP330" s="93"/>
      <c r="AQ330" s="93" t="s">
        <v>1180</v>
      </c>
      <c r="AR330" s="93" t="s">
        <v>1180</v>
      </c>
      <c r="AS330" s="95" t="str">
        <f t="shared" si="106"/>
        <v>#VALUE!</v>
      </c>
      <c r="AT330" s="93"/>
      <c r="AU330" s="103"/>
      <c r="AV330" s="93"/>
      <c r="AW330" s="103"/>
      <c r="AX330" s="93"/>
      <c r="AY330" s="93" t="str">
        <f t="shared" si="105"/>
        <v>#REF!</v>
      </c>
      <c r="AZ330" s="95">
        <f t="shared" si="104"/>
        <v>46171</v>
      </c>
      <c r="BA330" s="93"/>
    </row>
    <row r="331" ht="30.75" customHeight="1">
      <c r="A331" s="93" t="s">
        <v>114</v>
      </c>
      <c r="B331" s="94" t="s">
        <v>107</v>
      </c>
      <c r="C331" s="93" t="s">
        <v>206</v>
      </c>
      <c r="D331" s="93">
        <v>8.0</v>
      </c>
      <c r="E331" s="93" t="s">
        <v>173</v>
      </c>
      <c r="F331" s="93" t="s">
        <v>98</v>
      </c>
      <c r="G331" s="93" t="s">
        <v>86</v>
      </c>
      <c r="H331" s="93" t="s">
        <v>1190</v>
      </c>
      <c r="I331" s="93" t="s">
        <v>118</v>
      </c>
      <c r="J331" s="93" t="s">
        <v>1191</v>
      </c>
      <c r="K331" s="93" t="s">
        <v>170</v>
      </c>
      <c r="L331" s="93" t="s">
        <v>1192</v>
      </c>
      <c r="M331" s="93"/>
      <c r="N331" s="93" t="s">
        <v>123</v>
      </c>
      <c r="O331" s="93" t="s">
        <v>124</v>
      </c>
      <c r="P331" s="93">
        <v>4.0</v>
      </c>
      <c r="Q331" s="93">
        <v>12.0</v>
      </c>
      <c r="R331" s="93"/>
      <c r="S331" s="93"/>
      <c r="T331" s="93">
        <v>1.0</v>
      </c>
      <c r="U331" s="93"/>
      <c r="V331" s="93"/>
      <c r="W331" s="93"/>
      <c r="X331" s="93"/>
      <c r="Y331" s="93"/>
      <c r="Z331" s="93">
        <v>1.0</v>
      </c>
      <c r="AA331" s="93">
        <v>1.0</v>
      </c>
      <c r="AB331" s="93"/>
      <c r="AC331" s="93"/>
      <c r="AD331" s="93"/>
      <c r="AE331" s="93"/>
      <c r="AF331" s="93">
        <v>1.0</v>
      </c>
      <c r="AG331" s="93"/>
      <c r="AH331" s="93"/>
      <c r="AI331" s="93"/>
      <c r="AJ331" s="93"/>
      <c r="AK331" s="93"/>
      <c r="AL331" s="93">
        <v>1.0</v>
      </c>
      <c r="AM331" s="93"/>
      <c r="AN331" s="93"/>
      <c r="AO331" s="93"/>
      <c r="AP331" s="93"/>
      <c r="AQ331" s="93" t="s">
        <v>1180</v>
      </c>
      <c r="AR331" s="93" t="s">
        <v>1180</v>
      </c>
      <c r="AS331" s="95" t="str">
        <f t="shared" si="106"/>
        <v>#VALUE!</v>
      </c>
      <c r="AT331" s="93"/>
      <c r="AU331" s="103"/>
      <c r="AV331" s="93"/>
      <c r="AW331" s="103"/>
      <c r="AX331" s="93"/>
      <c r="AY331" s="93" t="str">
        <f t="shared" si="105"/>
        <v>#REF!</v>
      </c>
      <c r="AZ331" s="95">
        <f t="shared" si="104"/>
        <v>46171</v>
      </c>
      <c r="BA331" s="93"/>
    </row>
    <row r="332" ht="30.75" customHeight="1">
      <c r="A332" s="93" t="s">
        <v>114</v>
      </c>
      <c r="B332" s="94" t="s">
        <v>107</v>
      </c>
      <c r="C332" s="93" t="s">
        <v>206</v>
      </c>
      <c r="D332" s="93">
        <v>9.0</v>
      </c>
      <c r="E332" s="93" t="s">
        <v>173</v>
      </c>
      <c r="F332" s="93" t="s">
        <v>98</v>
      </c>
      <c r="G332" s="93" t="s">
        <v>86</v>
      </c>
      <c r="H332" s="93" t="s">
        <v>1193</v>
      </c>
      <c r="I332" s="93" t="s">
        <v>118</v>
      </c>
      <c r="J332" s="93" t="s">
        <v>681</v>
      </c>
      <c r="K332" s="93" t="s">
        <v>1194</v>
      </c>
      <c r="L332" s="93" t="s">
        <v>1195</v>
      </c>
      <c r="M332" s="93"/>
      <c r="N332" s="93" t="s">
        <v>123</v>
      </c>
      <c r="O332" s="93" t="s">
        <v>124</v>
      </c>
      <c r="P332" s="93">
        <v>4.0</v>
      </c>
      <c r="Q332" s="93">
        <v>12.0</v>
      </c>
      <c r="R332" s="93">
        <v>1.0</v>
      </c>
      <c r="S332" s="93"/>
      <c r="T332" s="93"/>
      <c r="U332" s="93"/>
      <c r="V332" s="93"/>
      <c r="W332" s="93"/>
      <c r="X332" s="93">
        <v>1.0</v>
      </c>
      <c r="Y332" s="93">
        <v>1.0</v>
      </c>
      <c r="Z332" s="93"/>
      <c r="AA332" s="93"/>
      <c r="AB332" s="93"/>
      <c r="AC332" s="93"/>
      <c r="AD332" s="93">
        <v>1.0</v>
      </c>
      <c r="AE332" s="93"/>
      <c r="AF332" s="93"/>
      <c r="AG332" s="93"/>
      <c r="AH332" s="93"/>
      <c r="AI332" s="93"/>
      <c r="AJ332" s="93">
        <v>1.0</v>
      </c>
      <c r="AK332" s="93"/>
      <c r="AL332" s="93"/>
      <c r="AM332" s="93"/>
      <c r="AN332" s="93"/>
      <c r="AO332" s="93"/>
      <c r="AP332" s="93"/>
      <c r="AQ332" s="93" t="s">
        <v>1180</v>
      </c>
      <c r="AR332" s="93" t="s">
        <v>1180</v>
      </c>
      <c r="AS332" s="95" t="str">
        <f t="shared" si="106"/>
        <v>#VALUE!</v>
      </c>
      <c r="AT332" s="93"/>
      <c r="AU332" s="103"/>
      <c r="AV332" s="93"/>
      <c r="AW332" s="103"/>
      <c r="AX332" s="93"/>
      <c r="AY332" s="93" t="str">
        <f t="shared" si="105"/>
        <v>#REF!</v>
      </c>
      <c r="AZ332" s="95">
        <f t="shared" si="104"/>
        <v>46171</v>
      </c>
      <c r="BA332" s="93"/>
    </row>
    <row r="333" ht="30.75" customHeight="1">
      <c r="A333" s="93" t="s">
        <v>114</v>
      </c>
      <c r="B333" s="94" t="s">
        <v>107</v>
      </c>
      <c r="C333" s="93" t="s">
        <v>206</v>
      </c>
      <c r="D333" s="93">
        <v>10.0</v>
      </c>
      <c r="E333" s="93" t="s">
        <v>173</v>
      </c>
      <c r="F333" s="93" t="s">
        <v>98</v>
      </c>
      <c r="G333" s="93" t="s">
        <v>86</v>
      </c>
      <c r="H333" s="93" t="s">
        <v>1196</v>
      </c>
      <c r="I333" s="93" t="s">
        <v>118</v>
      </c>
      <c r="J333" s="93" t="s">
        <v>1095</v>
      </c>
      <c r="K333" s="93" t="s">
        <v>1096</v>
      </c>
      <c r="L333" s="93" t="s">
        <v>1097</v>
      </c>
      <c r="M333" s="93"/>
      <c r="N333" s="93" t="s">
        <v>123</v>
      </c>
      <c r="O333" s="93" t="s">
        <v>124</v>
      </c>
      <c r="P333" s="93">
        <v>12.0</v>
      </c>
      <c r="Q333" s="93" t="s">
        <v>98</v>
      </c>
      <c r="R333" s="93"/>
      <c r="S333" s="93"/>
      <c r="T333" s="93"/>
      <c r="U333" s="93"/>
      <c r="V333" s="93"/>
      <c r="W333" s="93"/>
      <c r="X333" s="93"/>
      <c r="Y333" s="93"/>
      <c r="Z333" s="93">
        <v>1.0</v>
      </c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 t="s">
        <v>1180</v>
      </c>
      <c r="AR333" s="93" t="s">
        <v>1180</v>
      </c>
      <c r="AS333" s="95" t="str">
        <f t="shared" si="106"/>
        <v>#VALUE!</v>
      </c>
      <c r="AT333" s="93"/>
      <c r="AU333" s="103"/>
      <c r="AV333" s="93"/>
      <c r="AW333" s="103"/>
      <c r="AX333" s="93"/>
      <c r="AY333" s="93" t="str">
        <f t="shared" si="105"/>
        <v>#REF!</v>
      </c>
      <c r="AZ333" s="95">
        <f t="shared" si="104"/>
        <v>46171</v>
      </c>
      <c r="BA333" s="93"/>
    </row>
    <row r="334" ht="30.75" customHeight="1">
      <c r="A334" s="93" t="s">
        <v>114</v>
      </c>
      <c r="B334" s="94" t="s">
        <v>107</v>
      </c>
      <c r="C334" s="93" t="s">
        <v>206</v>
      </c>
      <c r="D334" s="93">
        <v>11.0</v>
      </c>
      <c r="E334" s="93" t="s">
        <v>173</v>
      </c>
      <c r="F334" s="93" t="s">
        <v>98</v>
      </c>
      <c r="G334" s="93" t="s">
        <v>86</v>
      </c>
      <c r="H334" s="93" t="s">
        <v>1197</v>
      </c>
      <c r="I334" s="93" t="s">
        <v>118</v>
      </c>
      <c r="J334" s="93" t="s">
        <v>1095</v>
      </c>
      <c r="K334" s="93" t="s">
        <v>1096</v>
      </c>
      <c r="L334" s="93" t="s">
        <v>1097</v>
      </c>
      <c r="M334" s="93"/>
      <c r="N334" s="93" t="s">
        <v>123</v>
      </c>
      <c r="O334" s="93" t="s">
        <v>124</v>
      </c>
      <c r="P334" s="93">
        <v>12.0</v>
      </c>
      <c r="Q334" s="93" t="s">
        <v>98</v>
      </c>
      <c r="R334" s="93"/>
      <c r="S334" s="93"/>
      <c r="T334" s="93"/>
      <c r="U334" s="93"/>
      <c r="V334" s="93"/>
      <c r="W334" s="93"/>
      <c r="X334" s="93"/>
      <c r="Y334" s="93"/>
      <c r="Z334" s="93">
        <v>1.0</v>
      </c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 t="s">
        <v>1180</v>
      </c>
      <c r="AR334" s="93" t="s">
        <v>1180</v>
      </c>
      <c r="AS334" s="95" t="str">
        <f t="shared" si="106"/>
        <v>#VALUE!</v>
      </c>
      <c r="AT334" s="93"/>
      <c r="AU334" s="103"/>
      <c r="AV334" s="93"/>
      <c r="AW334" s="103"/>
      <c r="AX334" s="93"/>
      <c r="AY334" s="93" t="str">
        <f t="shared" si="105"/>
        <v>#REF!</v>
      </c>
      <c r="AZ334" s="95">
        <f t="shared" si="104"/>
        <v>46171</v>
      </c>
      <c r="BA334" s="93"/>
    </row>
    <row r="335" ht="31.5" customHeight="1">
      <c r="A335" s="93" t="s">
        <v>106</v>
      </c>
      <c r="B335" s="94" t="s">
        <v>107</v>
      </c>
      <c r="C335" s="94" t="s">
        <v>206</v>
      </c>
      <c r="D335" s="93">
        <v>12.0</v>
      </c>
      <c r="E335" s="93" t="s">
        <v>173</v>
      </c>
      <c r="F335" s="93" t="s">
        <v>98</v>
      </c>
      <c r="G335" s="93" t="s">
        <v>86</v>
      </c>
      <c r="H335" s="93"/>
      <c r="I335" s="93"/>
      <c r="J335" s="93" t="s">
        <v>219</v>
      </c>
      <c r="K335" s="93" t="s">
        <v>220</v>
      </c>
      <c r="L335" s="93" t="s">
        <v>1198</v>
      </c>
      <c r="M335" s="93"/>
      <c r="N335" s="93" t="s">
        <v>123</v>
      </c>
      <c r="O335" s="93" t="s">
        <v>124</v>
      </c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5"/>
      <c r="AR335" s="95"/>
      <c r="AS335" s="95"/>
      <c r="AT335" s="95"/>
      <c r="AU335" s="95"/>
      <c r="AV335" s="95"/>
      <c r="AW335" s="95"/>
      <c r="AX335" s="93"/>
      <c r="AY335" s="93"/>
      <c r="AZ335" s="95"/>
      <c r="BA335" s="95"/>
    </row>
    <row r="336" ht="30.75" customHeight="1">
      <c r="A336" s="93" t="s">
        <v>106</v>
      </c>
      <c r="B336" s="94" t="s">
        <v>107</v>
      </c>
      <c r="C336" s="94" t="s">
        <v>206</v>
      </c>
      <c r="D336" s="94">
        <v>13.0</v>
      </c>
      <c r="E336" s="93" t="s">
        <v>173</v>
      </c>
      <c r="F336" s="93" t="s">
        <v>98</v>
      </c>
      <c r="G336" s="93" t="s">
        <v>86</v>
      </c>
      <c r="H336" s="93"/>
      <c r="I336" s="93"/>
      <c r="J336" s="93" t="s">
        <v>390</v>
      </c>
      <c r="K336" s="93" t="s">
        <v>1199</v>
      </c>
      <c r="L336" s="93" t="s">
        <v>1200</v>
      </c>
      <c r="M336" s="93"/>
      <c r="N336" s="93" t="s">
        <v>123</v>
      </c>
      <c r="O336" s="93" t="s">
        <v>124</v>
      </c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5"/>
      <c r="AR336" s="95"/>
      <c r="AS336" s="95"/>
      <c r="AT336" s="96"/>
      <c r="AU336" s="93"/>
      <c r="AV336" s="93"/>
      <c r="AW336" s="93"/>
      <c r="AX336" s="95"/>
      <c r="AY336" s="93"/>
      <c r="AZ336" s="95"/>
      <c r="BA336" s="95"/>
    </row>
    <row r="337" ht="30.75" customHeight="1">
      <c r="A337" s="93" t="s">
        <v>106</v>
      </c>
      <c r="B337" s="94" t="s">
        <v>107</v>
      </c>
      <c r="C337" s="94" t="s">
        <v>206</v>
      </c>
      <c r="D337" s="93">
        <v>14.0</v>
      </c>
      <c r="E337" s="93" t="s">
        <v>173</v>
      </c>
      <c r="F337" s="93" t="s">
        <v>98</v>
      </c>
      <c r="G337" s="93" t="s">
        <v>86</v>
      </c>
      <c r="H337" s="93"/>
      <c r="I337" s="93"/>
      <c r="J337" s="93" t="s">
        <v>1201</v>
      </c>
      <c r="K337" s="93" t="s">
        <v>1199</v>
      </c>
      <c r="L337" s="93" t="s">
        <v>1202</v>
      </c>
      <c r="M337" s="93"/>
      <c r="N337" s="93" t="s">
        <v>123</v>
      </c>
      <c r="O337" s="93" t="s">
        <v>124</v>
      </c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5"/>
      <c r="AR337" s="95"/>
      <c r="AS337" s="95"/>
      <c r="AT337" s="96"/>
      <c r="AU337" s="93"/>
      <c r="AV337" s="93"/>
      <c r="AW337" s="93"/>
      <c r="AX337" s="95"/>
      <c r="AY337" s="93"/>
      <c r="AZ337" s="95"/>
      <c r="BA337" s="95"/>
    </row>
    <row r="338" ht="30.75" customHeight="1">
      <c r="A338" s="93" t="s">
        <v>106</v>
      </c>
      <c r="B338" s="94" t="s">
        <v>107</v>
      </c>
      <c r="C338" s="94" t="s">
        <v>206</v>
      </c>
      <c r="D338" s="93">
        <v>15.0</v>
      </c>
      <c r="E338" s="93" t="s">
        <v>173</v>
      </c>
      <c r="F338" s="93" t="s">
        <v>98</v>
      </c>
      <c r="G338" s="93" t="s">
        <v>86</v>
      </c>
      <c r="H338" s="113"/>
      <c r="I338" s="93"/>
      <c r="J338" s="93" t="s">
        <v>1201</v>
      </c>
      <c r="K338" s="93" t="s">
        <v>1199</v>
      </c>
      <c r="L338" s="93" t="s">
        <v>1203</v>
      </c>
      <c r="M338" s="93"/>
      <c r="N338" s="93" t="s">
        <v>123</v>
      </c>
      <c r="O338" s="93" t="s">
        <v>124</v>
      </c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5"/>
      <c r="AR338" s="95"/>
      <c r="AS338" s="95"/>
      <c r="AT338" s="93"/>
      <c r="AU338" s="93"/>
      <c r="AV338" s="93"/>
      <c r="AW338" s="93"/>
      <c r="AX338" s="93"/>
      <c r="AY338" s="93"/>
      <c r="AZ338" s="95"/>
      <c r="BA338" s="95"/>
    </row>
    <row r="339" ht="30.75" customHeight="1">
      <c r="A339" s="93" t="s">
        <v>106</v>
      </c>
      <c r="B339" s="94" t="s">
        <v>107</v>
      </c>
      <c r="C339" s="94" t="s">
        <v>206</v>
      </c>
      <c r="D339" s="93">
        <v>16.0</v>
      </c>
      <c r="E339" s="93" t="s">
        <v>173</v>
      </c>
      <c r="F339" s="93" t="s">
        <v>98</v>
      </c>
      <c r="G339" s="93" t="s">
        <v>86</v>
      </c>
      <c r="H339" s="93"/>
      <c r="I339" s="93"/>
      <c r="J339" s="93" t="s">
        <v>379</v>
      </c>
      <c r="K339" s="93" t="s">
        <v>1204</v>
      </c>
      <c r="L339" s="93" t="s">
        <v>1205</v>
      </c>
      <c r="M339" s="93"/>
      <c r="N339" s="93" t="s">
        <v>123</v>
      </c>
      <c r="O339" s="93" t="s">
        <v>124</v>
      </c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5"/>
      <c r="AR339" s="95"/>
      <c r="AS339" s="95"/>
      <c r="AT339" s="93"/>
      <c r="AU339" s="93"/>
      <c r="AV339" s="93"/>
      <c r="AW339" s="93"/>
      <c r="AX339" s="95"/>
      <c r="AY339" s="93"/>
      <c r="AZ339" s="95"/>
      <c r="BA339" s="95"/>
    </row>
    <row r="340" ht="30.75" customHeight="1">
      <c r="A340" s="93" t="s">
        <v>106</v>
      </c>
      <c r="B340" s="94" t="s">
        <v>107</v>
      </c>
      <c r="C340" s="94" t="s">
        <v>206</v>
      </c>
      <c r="D340" s="93">
        <v>17.0</v>
      </c>
      <c r="E340" s="93" t="s">
        <v>173</v>
      </c>
      <c r="F340" s="93" t="s">
        <v>98</v>
      </c>
      <c r="G340" s="93" t="s">
        <v>86</v>
      </c>
      <c r="H340" s="93"/>
      <c r="I340" s="93"/>
      <c r="J340" s="93" t="s">
        <v>1206</v>
      </c>
      <c r="K340" s="93" t="s">
        <v>629</v>
      </c>
      <c r="L340" s="93" t="s">
        <v>1207</v>
      </c>
      <c r="M340" s="93"/>
      <c r="N340" s="93" t="s">
        <v>123</v>
      </c>
      <c r="O340" s="93" t="s">
        <v>124</v>
      </c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5"/>
      <c r="AR340" s="95"/>
      <c r="AS340" s="95"/>
      <c r="AT340" s="96"/>
      <c r="AU340" s="93"/>
      <c r="AV340" s="93"/>
      <c r="AW340" s="93"/>
      <c r="AX340" s="95"/>
      <c r="AY340" s="93"/>
      <c r="AZ340" s="95"/>
      <c r="BA340" s="95"/>
    </row>
    <row r="341" ht="30.75" customHeight="1">
      <c r="A341" s="93" t="s">
        <v>106</v>
      </c>
      <c r="B341" s="94" t="s">
        <v>107</v>
      </c>
      <c r="C341" s="93" t="s">
        <v>206</v>
      </c>
      <c r="D341" s="93">
        <v>10.0</v>
      </c>
      <c r="E341" s="93" t="s">
        <v>173</v>
      </c>
      <c r="F341" s="93" t="s">
        <v>98</v>
      </c>
      <c r="G341" s="93" t="s">
        <v>86</v>
      </c>
      <c r="H341" s="93"/>
      <c r="I341" s="93" t="s">
        <v>118</v>
      </c>
      <c r="J341" s="93" t="s">
        <v>1095</v>
      </c>
      <c r="K341" s="93" t="s">
        <v>1096</v>
      </c>
      <c r="L341" s="93" t="s">
        <v>1097</v>
      </c>
      <c r="M341" s="93" t="s">
        <v>1208</v>
      </c>
      <c r="N341" s="93" t="s">
        <v>123</v>
      </c>
      <c r="O341" s="93" t="s">
        <v>124</v>
      </c>
      <c r="P341" s="93">
        <v>12.0</v>
      </c>
      <c r="Q341" s="93" t="s">
        <v>98</v>
      </c>
      <c r="R341" s="93"/>
      <c r="S341" s="93"/>
      <c r="T341" s="93"/>
      <c r="U341" s="93"/>
      <c r="V341" s="93"/>
      <c r="W341" s="93"/>
      <c r="X341" s="93"/>
      <c r="Y341" s="93"/>
      <c r="Z341" s="93">
        <v>1.0</v>
      </c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 t="s">
        <v>1180</v>
      </c>
      <c r="AR341" s="93" t="s">
        <v>1180</v>
      </c>
      <c r="AS341" s="95" t="str">
        <f t="shared" ref="AS341:AS342" si="107">DATE(YEAR(AQ341),MONTH(AQ341)+Q341,DAY(AQ341))</f>
        <v>#VALUE!</v>
      </c>
      <c r="AT341" s="93"/>
      <c r="AU341" s="103"/>
      <c r="AV341" s="93"/>
      <c r="AW341" s="103"/>
      <c r="AX341" s="93"/>
      <c r="AY341" s="93" t="str">
        <f t="shared" ref="AY341:AY342" si="108">#REF!</f>
        <v>#REF!</v>
      </c>
      <c r="AZ341" s="95">
        <f t="shared" ref="AZ341:AZ349" si="109">TODAY()</f>
        <v>46171</v>
      </c>
      <c r="BA341" s="93"/>
    </row>
    <row r="342" ht="30.75" customHeight="1">
      <c r="A342" s="93" t="s">
        <v>106</v>
      </c>
      <c r="B342" s="94" t="s">
        <v>107</v>
      </c>
      <c r="C342" s="93" t="s">
        <v>206</v>
      </c>
      <c r="D342" s="93">
        <v>10.0</v>
      </c>
      <c r="E342" s="93" t="s">
        <v>173</v>
      </c>
      <c r="F342" s="93" t="s">
        <v>98</v>
      </c>
      <c r="G342" s="93" t="s">
        <v>86</v>
      </c>
      <c r="H342" s="93"/>
      <c r="I342" s="93" t="s">
        <v>118</v>
      </c>
      <c r="J342" s="93" t="s">
        <v>1095</v>
      </c>
      <c r="K342" s="93" t="s">
        <v>1096</v>
      </c>
      <c r="L342" s="93" t="s">
        <v>1097</v>
      </c>
      <c r="M342" s="93" t="s">
        <v>1209</v>
      </c>
      <c r="N342" s="93" t="s">
        <v>123</v>
      </c>
      <c r="O342" s="93" t="s">
        <v>124</v>
      </c>
      <c r="P342" s="93">
        <v>12.0</v>
      </c>
      <c r="Q342" s="93" t="s">
        <v>98</v>
      </c>
      <c r="R342" s="93"/>
      <c r="S342" s="93"/>
      <c r="T342" s="93"/>
      <c r="U342" s="93"/>
      <c r="V342" s="93"/>
      <c r="W342" s="93"/>
      <c r="X342" s="93"/>
      <c r="Y342" s="93"/>
      <c r="Z342" s="93">
        <v>1.0</v>
      </c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 t="s">
        <v>1180</v>
      </c>
      <c r="AR342" s="93" t="s">
        <v>1180</v>
      </c>
      <c r="AS342" s="95" t="str">
        <f t="shared" si="107"/>
        <v>#VALUE!</v>
      </c>
      <c r="AT342" s="93"/>
      <c r="AU342" s="103"/>
      <c r="AV342" s="93"/>
      <c r="AW342" s="103"/>
      <c r="AX342" s="93"/>
      <c r="AY342" s="93" t="str">
        <f t="shared" si="108"/>
        <v>#REF!</v>
      </c>
      <c r="AZ342" s="95">
        <f t="shared" si="109"/>
        <v>46171</v>
      </c>
      <c r="BA342" s="93"/>
    </row>
    <row r="343" ht="30.75" customHeight="1">
      <c r="A343" s="93" t="s">
        <v>81</v>
      </c>
      <c r="B343" s="94" t="s">
        <v>82</v>
      </c>
      <c r="C343" s="94" t="s">
        <v>83</v>
      </c>
      <c r="D343" s="93"/>
      <c r="E343" s="93" t="s">
        <v>153</v>
      </c>
      <c r="F343" s="93"/>
      <c r="G343" s="93" t="s">
        <v>86</v>
      </c>
      <c r="H343" s="93" t="s">
        <v>966</v>
      </c>
      <c r="I343" s="93"/>
      <c r="J343" s="93" t="s">
        <v>1210</v>
      </c>
      <c r="K343" s="93" t="s">
        <v>902</v>
      </c>
      <c r="L343" s="93" t="s">
        <v>1211</v>
      </c>
      <c r="M343" s="93" t="s">
        <v>968</v>
      </c>
      <c r="N343" s="93"/>
      <c r="O343" s="93"/>
      <c r="P343" s="93">
        <v>12.0</v>
      </c>
      <c r="Q343" s="93">
        <v>1.0</v>
      </c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>
        <v>1.0</v>
      </c>
      <c r="AI343" s="93">
        <v>1.0</v>
      </c>
      <c r="AJ343" s="93"/>
      <c r="AK343" s="93"/>
      <c r="AL343" s="93"/>
      <c r="AM343" s="93"/>
      <c r="AN343" s="93"/>
      <c r="AO343" s="93"/>
      <c r="AP343" s="93"/>
      <c r="AQ343" s="93" t="s">
        <v>924</v>
      </c>
      <c r="AR343" s="93" t="s">
        <v>924</v>
      </c>
      <c r="AS343" s="93" t="s">
        <v>925</v>
      </c>
      <c r="AT343" s="93" t="s">
        <v>1212</v>
      </c>
      <c r="AU343" s="93"/>
      <c r="AV343" s="93"/>
      <c r="AW343" s="93"/>
      <c r="AX343" s="95"/>
      <c r="AY343" s="93"/>
      <c r="AZ343" s="95">
        <f t="shared" si="109"/>
        <v>46171</v>
      </c>
      <c r="BA343" s="95"/>
    </row>
    <row r="344" ht="30.75" customHeight="1">
      <c r="A344" s="93"/>
      <c r="B344" s="94" t="s">
        <v>82</v>
      </c>
      <c r="C344" s="110" t="s">
        <v>83</v>
      </c>
      <c r="D344" s="93">
        <v>49.0</v>
      </c>
      <c r="E344" s="111" t="s">
        <v>108</v>
      </c>
      <c r="F344" s="93" t="s">
        <v>98</v>
      </c>
      <c r="G344" s="93" t="s">
        <v>86</v>
      </c>
      <c r="H344" s="93" t="s">
        <v>1213</v>
      </c>
      <c r="I344" s="93" t="s">
        <v>88</v>
      </c>
      <c r="J344" s="93" t="s">
        <v>1214</v>
      </c>
      <c r="K344" s="93" t="s">
        <v>902</v>
      </c>
      <c r="L344" s="93" t="s">
        <v>903</v>
      </c>
      <c r="M344" s="93">
        <v>1.3520218E7</v>
      </c>
      <c r="N344" s="93" t="s">
        <v>920</v>
      </c>
      <c r="O344" s="93" t="s">
        <v>678</v>
      </c>
      <c r="P344" s="111">
        <v>12.0</v>
      </c>
      <c r="Q344" s="111" t="s">
        <v>98</v>
      </c>
      <c r="R344" s="93" t="s">
        <v>98</v>
      </c>
      <c r="S344" s="93" t="s">
        <v>98</v>
      </c>
      <c r="T344" s="93" t="s">
        <v>98</v>
      </c>
      <c r="U344" s="93" t="s">
        <v>98</v>
      </c>
      <c r="V344" s="93" t="s">
        <v>98</v>
      </c>
      <c r="W344" s="93" t="s">
        <v>98</v>
      </c>
      <c r="X344" s="93" t="s">
        <v>98</v>
      </c>
      <c r="Y344" s="93" t="s">
        <v>98</v>
      </c>
      <c r="Z344" s="93" t="s">
        <v>98</v>
      </c>
      <c r="AA344" s="93" t="s">
        <v>98</v>
      </c>
      <c r="AB344" s="93" t="s">
        <v>98</v>
      </c>
      <c r="AC344" s="93" t="s">
        <v>98</v>
      </c>
      <c r="AD344" s="93" t="s">
        <v>98</v>
      </c>
      <c r="AE344" s="93" t="s">
        <v>98</v>
      </c>
      <c r="AF344" s="93" t="s">
        <v>98</v>
      </c>
      <c r="AG344" s="93" t="s">
        <v>98</v>
      </c>
      <c r="AH344" s="93" t="s">
        <v>98</v>
      </c>
      <c r="AI344" s="93" t="s">
        <v>98</v>
      </c>
      <c r="AJ344" s="93" t="s">
        <v>98</v>
      </c>
      <c r="AK344" s="93" t="s">
        <v>98</v>
      </c>
      <c r="AL344" s="93" t="s">
        <v>98</v>
      </c>
      <c r="AM344" s="93" t="s">
        <v>98</v>
      </c>
      <c r="AN344" s="93" t="s">
        <v>98</v>
      </c>
      <c r="AO344" s="93" t="s">
        <v>98</v>
      </c>
      <c r="AP344" s="93" t="str">
        <f t="shared" ref="AP344:AP349" si="110">#REF!</f>
        <v>#REF!</v>
      </c>
      <c r="AQ344" s="93" t="s">
        <v>98</v>
      </c>
      <c r="AR344" s="93" t="s">
        <v>98</v>
      </c>
      <c r="AS344" s="95" t="str">
        <f t="shared" ref="AS344:AS349" si="111">DATE(YEAR(AQ344),MONTH(AQ344)+P344,DAY(AQ344))</f>
        <v>#VALUE!</v>
      </c>
      <c r="AT344" s="93" t="s">
        <v>98</v>
      </c>
      <c r="AU344" s="93" t="s">
        <v>98</v>
      </c>
      <c r="AV344" s="93" t="s">
        <v>98</v>
      </c>
      <c r="AW344" s="93" t="s">
        <v>98</v>
      </c>
      <c r="AX344" s="93" t="s">
        <v>113</v>
      </c>
      <c r="AY344" s="93" t="str">
        <f t="shared" ref="AY344:AY349" si="112">#REF!</f>
        <v>#REF!</v>
      </c>
      <c r="AZ344" s="95">
        <f t="shared" si="109"/>
        <v>46171</v>
      </c>
      <c r="BA344" s="95"/>
    </row>
    <row r="345" ht="30.75" customHeight="1">
      <c r="A345" s="93"/>
      <c r="B345" s="94" t="s">
        <v>107</v>
      </c>
      <c r="C345" s="94" t="s">
        <v>83</v>
      </c>
      <c r="D345" s="93">
        <v>56.0</v>
      </c>
      <c r="E345" s="93" t="s">
        <v>84</v>
      </c>
      <c r="F345" s="93" t="s">
        <v>1215</v>
      </c>
      <c r="G345" s="93" t="s">
        <v>161</v>
      </c>
      <c r="H345" s="93" t="s">
        <v>1216</v>
      </c>
      <c r="I345" s="93"/>
      <c r="J345" s="93" t="s">
        <v>1217</v>
      </c>
      <c r="K345" s="93" t="s">
        <v>93</v>
      </c>
      <c r="L345" s="93" t="s">
        <v>1218</v>
      </c>
      <c r="M345" s="93" t="s">
        <v>1219</v>
      </c>
      <c r="N345" s="93" t="s">
        <v>93</v>
      </c>
      <c r="O345" s="93" t="s">
        <v>753</v>
      </c>
      <c r="P345" s="93">
        <v>12.0</v>
      </c>
      <c r="Q345" s="93" t="s">
        <v>98</v>
      </c>
      <c r="R345" s="93" t="s">
        <v>98</v>
      </c>
      <c r="S345" s="93" t="s">
        <v>98</v>
      </c>
      <c r="T345" s="93" t="s">
        <v>98</v>
      </c>
      <c r="U345" s="93" t="s">
        <v>98</v>
      </c>
      <c r="V345" s="93" t="s">
        <v>98</v>
      </c>
      <c r="W345" s="93" t="s">
        <v>98</v>
      </c>
      <c r="X345" s="93" t="s">
        <v>98</v>
      </c>
      <c r="Y345" s="93" t="s">
        <v>98</v>
      </c>
      <c r="Z345" s="93" t="s">
        <v>98</v>
      </c>
      <c r="AA345" s="93" t="s">
        <v>98</v>
      </c>
      <c r="AB345" s="93" t="s">
        <v>98</v>
      </c>
      <c r="AC345" s="93" t="s">
        <v>98</v>
      </c>
      <c r="AD345" s="93" t="s">
        <v>98</v>
      </c>
      <c r="AE345" s="93" t="s">
        <v>98</v>
      </c>
      <c r="AF345" s="93" t="s">
        <v>98</v>
      </c>
      <c r="AG345" s="93" t="s">
        <v>98</v>
      </c>
      <c r="AH345" s="93" t="s">
        <v>98</v>
      </c>
      <c r="AI345" s="93" t="s">
        <v>98</v>
      </c>
      <c r="AJ345" s="93" t="s">
        <v>98</v>
      </c>
      <c r="AK345" s="93" t="s">
        <v>98</v>
      </c>
      <c r="AL345" s="93" t="s">
        <v>98</v>
      </c>
      <c r="AM345" s="93" t="s">
        <v>98</v>
      </c>
      <c r="AN345" s="93" t="s">
        <v>98</v>
      </c>
      <c r="AO345" s="93" t="s">
        <v>98</v>
      </c>
      <c r="AP345" s="93" t="str">
        <f t="shared" si="110"/>
        <v>#REF!</v>
      </c>
      <c r="AQ345" s="93" t="s">
        <v>98</v>
      </c>
      <c r="AR345" s="93" t="s">
        <v>98</v>
      </c>
      <c r="AS345" s="95" t="str">
        <f t="shared" si="111"/>
        <v>#VALUE!</v>
      </c>
      <c r="AT345" s="93" t="s">
        <v>98</v>
      </c>
      <c r="AU345" s="93" t="s">
        <v>98</v>
      </c>
      <c r="AV345" s="93" t="s">
        <v>98</v>
      </c>
      <c r="AW345" s="93" t="s">
        <v>98</v>
      </c>
      <c r="AX345" s="93" t="s">
        <v>113</v>
      </c>
      <c r="AY345" s="93" t="str">
        <f t="shared" si="112"/>
        <v>#REF!</v>
      </c>
      <c r="AZ345" s="95">
        <f t="shared" si="109"/>
        <v>46171</v>
      </c>
      <c r="BA345" s="95"/>
    </row>
    <row r="346" ht="30.75" customHeight="1">
      <c r="A346" s="93"/>
      <c r="B346" s="94" t="s">
        <v>107</v>
      </c>
      <c r="C346" s="94" t="s">
        <v>83</v>
      </c>
      <c r="D346" s="94">
        <v>57.0</v>
      </c>
      <c r="E346" s="93" t="s">
        <v>84</v>
      </c>
      <c r="F346" s="93" t="s">
        <v>1220</v>
      </c>
      <c r="G346" s="93" t="s">
        <v>161</v>
      </c>
      <c r="H346" s="93" t="s">
        <v>1221</v>
      </c>
      <c r="I346" s="93" t="s">
        <v>88</v>
      </c>
      <c r="J346" s="93" t="s">
        <v>1222</v>
      </c>
      <c r="K346" s="93" t="s">
        <v>93</v>
      </c>
      <c r="L346" s="93" t="s">
        <v>1223</v>
      </c>
      <c r="M346" s="93">
        <v>9121158.0</v>
      </c>
      <c r="N346" s="93" t="s">
        <v>93</v>
      </c>
      <c r="O346" s="93" t="s">
        <v>753</v>
      </c>
      <c r="P346" s="93">
        <v>12.0</v>
      </c>
      <c r="Q346" s="93" t="s">
        <v>98</v>
      </c>
      <c r="R346" s="93" t="s">
        <v>98</v>
      </c>
      <c r="S346" s="93" t="s">
        <v>98</v>
      </c>
      <c r="T346" s="93" t="s">
        <v>98</v>
      </c>
      <c r="U346" s="93" t="s">
        <v>98</v>
      </c>
      <c r="V346" s="93" t="s">
        <v>98</v>
      </c>
      <c r="W346" s="93" t="s">
        <v>98</v>
      </c>
      <c r="X346" s="93" t="s">
        <v>98</v>
      </c>
      <c r="Y346" s="93" t="s">
        <v>98</v>
      </c>
      <c r="Z346" s="93" t="s">
        <v>98</v>
      </c>
      <c r="AA346" s="93" t="s">
        <v>98</v>
      </c>
      <c r="AB346" s="93" t="s">
        <v>98</v>
      </c>
      <c r="AC346" s="93" t="s">
        <v>98</v>
      </c>
      <c r="AD346" s="93" t="s">
        <v>98</v>
      </c>
      <c r="AE346" s="93" t="s">
        <v>98</v>
      </c>
      <c r="AF346" s="93" t="s">
        <v>98</v>
      </c>
      <c r="AG346" s="93" t="s">
        <v>98</v>
      </c>
      <c r="AH346" s="93" t="s">
        <v>98</v>
      </c>
      <c r="AI346" s="93" t="s">
        <v>98</v>
      </c>
      <c r="AJ346" s="93" t="s">
        <v>98</v>
      </c>
      <c r="AK346" s="93" t="s">
        <v>98</v>
      </c>
      <c r="AL346" s="93" t="s">
        <v>98</v>
      </c>
      <c r="AM346" s="93" t="s">
        <v>98</v>
      </c>
      <c r="AN346" s="93" t="s">
        <v>98</v>
      </c>
      <c r="AO346" s="93" t="s">
        <v>98</v>
      </c>
      <c r="AP346" s="93" t="str">
        <f t="shared" si="110"/>
        <v>#REF!</v>
      </c>
      <c r="AQ346" s="93" t="s">
        <v>98</v>
      </c>
      <c r="AR346" s="93" t="s">
        <v>98</v>
      </c>
      <c r="AS346" s="95" t="str">
        <f t="shared" si="111"/>
        <v>#VALUE!</v>
      </c>
      <c r="AT346" s="93" t="s">
        <v>98</v>
      </c>
      <c r="AU346" s="93" t="s">
        <v>98</v>
      </c>
      <c r="AV346" s="93" t="s">
        <v>98</v>
      </c>
      <c r="AW346" s="93" t="s">
        <v>98</v>
      </c>
      <c r="AX346" s="93" t="s">
        <v>113</v>
      </c>
      <c r="AY346" s="93" t="str">
        <f t="shared" si="112"/>
        <v>#REF!</v>
      </c>
      <c r="AZ346" s="95">
        <f t="shared" si="109"/>
        <v>46171</v>
      </c>
      <c r="BA346" s="95"/>
    </row>
    <row r="347" ht="30.75" customHeight="1">
      <c r="A347" s="93"/>
      <c r="B347" s="94" t="s">
        <v>107</v>
      </c>
      <c r="C347" s="94" t="s">
        <v>83</v>
      </c>
      <c r="D347" s="93">
        <v>58.0</v>
      </c>
      <c r="E347" s="93" t="s">
        <v>84</v>
      </c>
      <c r="F347" s="93" t="s">
        <v>1224</v>
      </c>
      <c r="G347" s="93" t="s">
        <v>161</v>
      </c>
      <c r="H347" s="93" t="s">
        <v>1225</v>
      </c>
      <c r="I347" s="93" t="s">
        <v>88</v>
      </c>
      <c r="J347" s="93" t="s">
        <v>1226</v>
      </c>
      <c r="K347" s="93" t="s">
        <v>93</v>
      </c>
      <c r="L347" s="93" t="s">
        <v>1227</v>
      </c>
      <c r="M347" s="93" t="s">
        <v>1228</v>
      </c>
      <c r="N347" s="93" t="s">
        <v>93</v>
      </c>
      <c r="O347" s="93" t="s">
        <v>753</v>
      </c>
      <c r="P347" s="93">
        <v>12.0</v>
      </c>
      <c r="Q347" s="93" t="s">
        <v>98</v>
      </c>
      <c r="R347" s="93" t="s">
        <v>98</v>
      </c>
      <c r="S347" s="93" t="s">
        <v>98</v>
      </c>
      <c r="T347" s="93" t="s">
        <v>98</v>
      </c>
      <c r="U347" s="93" t="s">
        <v>98</v>
      </c>
      <c r="V347" s="93" t="s">
        <v>98</v>
      </c>
      <c r="W347" s="93" t="s">
        <v>98</v>
      </c>
      <c r="X347" s="93" t="s">
        <v>98</v>
      </c>
      <c r="Y347" s="93" t="s">
        <v>98</v>
      </c>
      <c r="Z347" s="93" t="s">
        <v>98</v>
      </c>
      <c r="AA347" s="93" t="s">
        <v>98</v>
      </c>
      <c r="AB347" s="93" t="s">
        <v>98</v>
      </c>
      <c r="AC347" s="93" t="s">
        <v>98</v>
      </c>
      <c r="AD347" s="93" t="s">
        <v>98</v>
      </c>
      <c r="AE347" s="93" t="s">
        <v>98</v>
      </c>
      <c r="AF347" s="93" t="s">
        <v>98</v>
      </c>
      <c r="AG347" s="93" t="s">
        <v>98</v>
      </c>
      <c r="AH347" s="93" t="s">
        <v>98</v>
      </c>
      <c r="AI347" s="93" t="s">
        <v>98</v>
      </c>
      <c r="AJ347" s="93" t="s">
        <v>98</v>
      </c>
      <c r="AK347" s="93" t="s">
        <v>98</v>
      </c>
      <c r="AL347" s="93" t="s">
        <v>98</v>
      </c>
      <c r="AM347" s="93" t="s">
        <v>98</v>
      </c>
      <c r="AN347" s="93" t="s">
        <v>98</v>
      </c>
      <c r="AO347" s="93" t="s">
        <v>98</v>
      </c>
      <c r="AP347" s="93" t="str">
        <f t="shared" si="110"/>
        <v>#REF!</v>
      </c>
      <c r="AQ347" s="93" t="s">
        <v>98</v>
      </c>
      <c r="AR347" s="93" t="s">
        <v>98</v>
      </c>
      <c r="AS347" s="95" t="str">
        <f t="shared" si="111"/>
        <v>#VALUE!</v>
      </c>
      <c r="AT347" s="93" t="s">
        <v>98</v>
      </c>
      <c r="AU347" s="93" t="s">
        <v>98</v>
      </c>
      <c r="AV347" s="93" t="s">
        <v>98</v>
      </c>
      <c r="AW347" s="93" t="s">
        <v>98</v>
      </c>
      <c r="AX347" s="93" t="s">
        <v>113</v>
      </c>
      <c r="AY347" s="93" t="str">
        <f t="shared" si="112"/>
        <v>#REF!</v>
      </c>
      <c r="AZ347" s="95">
        <f t="shared" si="109"/>
        <v>46171</v>
      </c>
      <c r="BA347" s="95"/>
    </row>
    <row r="348" ht="30.75" customHeight="1">
      <c r="A348" s="93"/>
      <c r="B348" s="94" t="s">
        <v>107</v>
      </c>
      <c r="C348" s="94" t="s">
        <v>83</v>
      </c>
      <c r="D348" s="94">
        <v>59.0</v>
      </c>
      <c r="E348" s="93" t="s">
        <v>84</v>
      </c>
      <c r="F348" s="93" t="s">
        <v>1229</v>
      </c>
      <c r="G348" s="93" t="s">
        <v>161</v>
      </c>
      <c r="H348" s="93" t="s">
        <v>1216</v>
      </c>
      <c r="I348" s="93" t="s">
        <v>88</v>
      </c>
      <c r="J348" s="93" t="s">
        <v>1230</v>
      </c>
      <c r="K348" s="93" t="s">
        <v>93</v>
      </c>
      <c r="L348" s="93" t="s">
        <v>1227</v>
      </c>
      <c r="M348" s="93" t="s">
        <v>1231</v>
      </c>
      <c r="N348" s="93" t="s">
        <v>93</v>
      </c>
      <c r="O348" s="93" t="s">
        <v>753</v>
      </c>
      <c r="P348" s="93">
        <v>12.0</v>
      </c>
      <c r="Q348" s="93" t="s">
        <v>98</v>
      </c>
      <c r="R348" s="93" t="s">
        <v>98</v>
      </c>
      <c r="S348" s="93" t="s">
        <v>98</v>
      </c>
      <c r="T348" s="93" t="s">
        <v>98</v>
      </c>
      <c r="U348" s="93" t="s">
        <v>98</v>
      </c>
      <c r="V348" s="93" t="s">
        <v>98</v>
      </c>
      <c r="W348" s="93" t="s">
        <v>98</v>
      </c>
      <c r="X348" s="93" t="s">
        <v>98</v>
      </c>
      <c r="Y348" s="93" t="s">
        <v>98</v>
      </c>
      <c r="Z348" s="93" t="s">
        <v>98</v>
      </c>
      <c r="AA348" s="93" t="s">
        <v>98</v>
      </c>
      <c r="AB348" s="93" t="s">
        <v>98</v>
      </c>
      <c r="AC348" s="93" t="s">
        <v>98</v>
      </c>
      <c r="AD348" s="93" t="s">
        <v>98</v>
      </c>
      <c r="AE348" s="93" t="s">
        <v>98</v>
      </c>
      <c r="AF348" s="93" t="s">
        <v>98</v>
      </c>
      <c r="AG348" s="93" t="s">
        <v>98</v>
      </c>
      <c r="AH348" s="93" t="s">
        <v>98</v>
      </c>
      <c r="AI348" s="93" t="s">
        <v>98</v>
      </c>
      <c r="AJ348" s="93" t="s">
        <v>98</v>
      </c>
      <c r="AK348" s="93" t="s">
        <v>98</v>
      </c>
      <c r="AL348" s="93" t="s">
        <v>98</v>
      </c>
      <c r="AM348" s="93" t="s">
        <v>98</v>
      </c>
      <c r="AN348" s="93" t="s">
        <v>98</v>
      </c>
      <c r="AO348" s="93" t="s">
        <v>98</v>
      </c>
      <c r="AP348" s="93" t="str">
        <f t="shared" si="110"/>
        <v>#REF!</v>
      </c>
      <c r="AQ348" s="93" t="s">
        <v>98</v>
      </c>
      <c r="AR348" s="93" t="s">
        <v>98</v>
      </c>
      <c r="AS348" s="95" t="str">
        <f t="shared" si="111"/>
        <v>#VALUE!</v>
      </c>
      <c r="AT348" s="93" t="s">
        <v>98</v>
      </c>
      <c r="AU348" s="93" t="s">
        <v>98</v>
      </c>
      <c r="AV348" s="93" t="s">
        <v>98</v>
      </c>
      <c r="AW348" s="93" t="s">
        <v>98</v>
      </c>
      <c r="AX348" s="93" t="s">
        <v>113</v>
      </c>
      <c r="AY348" s="93" t="str">
        <f t="shared" si="112"/>
        <v>#REF!</v>
      </c>
      <c r="AZ348" s="95">
        <f t="shared" si="109"/>
        <v>46171</v>
      </c>
      <c r="BA348" s="95"/>
    </row>
    <row r="349" ht="30.75" customHeight="1">
      <c r="A349" s="93"/>
      <c r="B349" s="94" t="s">
        <v>107</v>
      </c>
      <c r="C349" s="94" t="s">
        <v>83</v>
      </c>
      <c r="D349" s="93">
        <v>60.0</v>
      </c>
      <c r="E349" s="93" t="s">
        <v>84</v>
      </c>
      <c r="F349" s="93" t="s">
        <v>1232</v>
      </c>
      <c r="G349" s="93" t="s">
        <v>161</v>
      </c>
      <c r="H349" s="93" t="s">
        <v>602</v>
      </c>
      <c r="I349" s="93" t="s">
        <v>88</v>
      </c>
      <c r="J349" s="93" t="s">
        <v>1233</v>
      </c>
      <c r="K349" s="93" t="s">
        <v>586</v>
      </c>
      <c r="L349" s="93" t="s">
        <v>1234</v>
      </c>
      <c r="M349" s="93">
        <v>3.0254719E7</v>
      </c>
      <c r="N349" s="93" t="s">
        <v>184</v>
      </c>
      <c r="O349" s="93" t="s">
        <v>753</v>
      </c>
      <c r="P349" s="93">
        <v>12.0</v>
      </c>
      <c r="Q349" s="93" t="s">
        <v>98</v>
      </c>
      <c r="R349" s="93" t="s">
        <v>98</v>
      </c>
      <c r="S349" s="93" t="s">
        <v>98</v>
      </c>
      <c r="T349" s="93" t="s">
        <v>98</v>
      </c>
      <c r="U349" s="93" t="s">
        <v>98</v>
      </c>
      <c r="V349" s="93" t="s">
        <v>98</v>
      </c>
      <c r="W349" s="93" t="s">
        <v>98</v>
      </c>
      <c r="X349" s="93" t="s">
        <v>98</v>
      </c>
      <c r="Y349" s="93" t="s">
        <v>98</v>
      </c>
      <c r="Z349" s="93" t="s">
        <v>98</v>
      </c>
      <c r="AA349" s="93" t="s">
        <v>98</v>
      </c>
      <c r="AB349" s="93" t="s">
        <v>98</v>
      </c>
      <c r="AC349" s="93" t="s">
        <v>98</v>
      </c>
      <c r="AD349" s="93" t="s">
        <v>98</v>
      </c>
      <c r="AE349" s="93" t="s">
        <v>98</v>
      </c>
      <c r="AF349" s="93" t="s">
        <v>98</v>
      </c>
      <c r="AG349" s="93" t="s">
        <v>98</v>
      </c>
      <c r="AH349" s="93" t="s">
        <v>98</v>
      </c>
      <c r="AI349" s="93" t="s">
        <v>98</v>
      </c>
      <c r="AJ349" s="93" t="s">
        <v>98</v>
      </c>
      <c r="AK349" s="93" t="s">
        <v>98</v>
      </c>
      <c r="AL349" s="93" t="s">
        <v>98</v>
      </c>
      <c r="AM349" s="93" t="s">
        <v>98</v>
      </c>
      <c r="AN349" s="93" t="s">
        <v>98</v>
      </c>
      <c r="AO349" s="93" t="s">
        <v>98</v>
      </c>
      <c r="AP349" s="93" t="str">
        <f t="shared" si="110"/>
        <v>#REF!</v>
      </c>
      <c r="AQ349" s="93" t="s">
        <v>98</v>
      </c>
      <c r="AR349" s="93" t="s">
        <v>98</v>
      </c>
      <c r="AS349" s="95" t="str">
        <f t="shared" si="111"/>
        <v>#VALUE!</v>
      </c>
      <c r="AT349" s="93" t="s">
        <v>98</v>
      </c>
      <c r="AU349" s="93" t="s">
        <v>98</v>
      </c>
      <c r="AV349" s="93" t="s">
        <v>98</v>
      </c>
      <c r="AW349" s="93" t="s">
        <v>98</v>
      </c>
      <c r="AX349" s="93" t="s">
        <v>113</v>
      </c>
      <c r="AY349" s="93" t="str">
        <f t="shared" si="112"/>
        <v>#REF!</v>
      </c>
      <c r="AZ349" s="95">
        <f t="shared" si="109"/>
        <v>46171</v>
      </c>
      <c r="BA349" s="95"/>
    </row>
    <row r="350" ht="30.75" customHeight="1">
      <c r="A350" s="93"/>
      <c r="B350" s="94" t="s">
        <v>82</v>
      </c>
      <c r="C350" s="94" t="s">
        <v>83</v>
      </c>
      <c r="D350" s="93">
        <v>10.0</v>
      </c>
      <c r="E350" s="93" t="s">
        <v>131</v>
      </c>
      <c r="F350" s="93" t="s">
        <v>1235</v>
      </c>
      <c r="G350" s="93" t="s">
        <v>86</v>
      </c>
      <c r="H350" s="113" t="s">
        <v>1236</v>
      </c>
      <c r="I350" s="93" t="s">
        <v>88</v>
      </c>
      <c r="J350" s="93" t="s">
        <v>1237</v>
      </c>
      <c r="K350" s="93" t="s">
        <v>1238</v>
      </c>
      <c r="L350" s="93" t="s">
        <v>1239</v>
      </c>
      <c r="M350" s="93" t="s">
        <v>1240</v>
      </c>
      <c r="N350" s="93" t="s">
        <v>1241</v>
      </c>
      <c r="O350" s="93" t="s">
        <v>94</v>
      </c>
      <c r="P350" s="93">
        <v>12.0</v>
      </c>
      <c r="Q350" s="93">
        <v>1.0</v>
      </c>
      <c r="R350" s="93"/>
      <c r="S350" s="93"/>
      <c r="T350" s="93"/>
      <c r="U350" s="93"/>
      <c r="V350" s="93">
        <v>1.0</v>
      </c>
      <c r="W350" s="93">
        <v>1.0</v>
      </c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 t="s">
        <v>139</v>
      </c>
      <c r="AQ350" s="95">
        <v>45000.0</v>
      </c>
      <c r="AR350" s="95">
        <v>45000.0</v>
      </c>
      <c r="AS350" s="95">
        <v>45366.0</v>
      </c>
      <c r="AT350" s="93" t="s">
        <v>1242</v>
      </c>
      <c r="AU350" s="93"/>
      <c r="AV350" s="93"/>
      <c r="AW350" s="93"/>
      <c r="AX350" s="93" t="s">
        <v>99</v>
      </c>
      <c r="AY350" s="93" t="s">
        <v>139</v>
      </c>
      <c r="AZ350" s="95">
        <v>45370.0</v>
      </c>
      <c r="BA350" s="95"/>
    </row>
    <row r="351" ht="30.75" customHeight="1">
      <c r="A351" s="93"/>
      <c r="B351" s="94" t="s">
        <v>82</v>
      </c>
      <c r="C351" s="94" t="s">
        <v>83</v>
      </c>
      <c r="D351" s="93">
        <v>11.0</v>
      </c>
      <c r="E351" s="93" t="s">
        <v>131</v>
      </c>
      <c r="F351" s="93" t="s">
        <v>1243</v>
      </c>
      <c r="G351" s="93" t="s">
        <v>86</v>
      </c>
      <c r="H351" s="93" t="s">
        <v>98</v>
      </c>
      <c r="I351" s="93" t="s">
        <v>88</v>
      </c>
      <c r="J351" s="93" t="s">
        <v>1237</v>
      </c>
      <c r="K351" s="93" t="s">
        <v>1238</v>
      </c>
      <c r="L351" s="93" t="s">
        <v>1244</v>
      </c>
      <c r="M351" s="93" t="s">
        <v>1245</v>
      </c>
      <c r="N351" s="93" t="s">
        <v>1241</v>
      </c>
      <c r="O351" s="93"/>
      <c r="P351" s="93">
        <v>12.0</v>
      </c>
      <c r="Q351" s="93">
        <v>1.0</v>
      </c>
      <c r="R351" s="93"/>
      <c r="S351" s="93"/>
      <c r="T351" s="93"/>
      <c r="U351" s="93"/>
      <c r="V351" s="93">
        <v>1.0</v>
      </c>
      <c r="W351" s="93">
        <v>1.0</v>
      </c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>
        <v>0.0</v>
      </c>
      <c r="AQ351" s="95">
        <v>45000.0</v>
      </c>
      <c r="AR351" s="95">
        <v>45000.0</v>
      </c>
      <c r="AS351" s="95">
        <v>45366.0</v>
      </c>
      <c r="AT351" s="93" t="s">
        <v>1246</v>
      </c>
      <c r="AU351" s="93" t="s">
        <v>98</v>
      </c>
      <c r="AV351" s="93" t="s">
        <v>98</v>
      </c>
      <c r="AW351" s="93" t="s">
        <v>98</v>
      </c>
      <c r="AX351" s="93" t="s">
        <v>99</v>
      </c>
      <c r="AY351" s="93">
        <v>0.0</v>
      </c>
      <c r="AZ351" s="95">
        <v>45370.0</v>
      </c>
      <c r="BA351" s="95"/>
    </row>
    <row r="352" ht="30.75" customHeight="1">
      <c r="A352" s="93"/>
      <c r="B352" s="94" t="s">
        <v>82</v>
      </c>
      <c r="C352" s="94" t="s">
        <v>83</v>
      </c>
      <c r="D352" s="93">
        <v>62.0</v>
      </c>
      <c r="E352" s="93" t="s">
        <v>84</v>
      </c>
      <c r="F352" s="93" t="s">
        <v>1247</v>
      </c>
      <c r="G352" s="93" t="s">
        <v>86</v>
      </c>
      <c r="H352" s="93" t="s">
        <v>1248</v>
      </c>
      <c r="I352" s="93" t="s">
        <v>88</v>
      </c>
      <c r="J352" s="93" t="s">
        <v>1249</v>
      </c>
      <c r="K352" s="93" t="s">
        <v>1250</v>
      </c>
      <c r="L352" s="93" t="s">
        <v>98</v>
      </c>
      <c r="M352" s="93" t="s">
        <v>1250</v>
      </c>
      <c r="N352" s="93" t="s">
        <v>98</v>
      </c>
      <c r="O352" s="93" t="s">
        <v>647</v>
      </c>
      <c r="P352" s="93">
        <v>12.0</v>
      </c>
      <c r="Q352" s="93">
        <v>1.0</v>
      </c>
      <c r="R352" s="93"/>
      <c r="S352" s="93"/>
      <c r="T352" s="93"/>
      <c r="U352" s="93"/>
      <c r="V352" s="93">
        <v>1.0</v>
      </c>
      <c r="W352" s="93">
        <v>1.0</v>
      </c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 t="str">
        <f t="shared" ref="AP352:AP358" si="113">#REF!</f>
        <v>#REF!</v>
      </c>
      <c r="AQ352" s="95">
        <v>44998.0</v>
      </c>
      <c r="AR352" s="95">
        <v>44998.0</v>
      </c>
      <c r="AS352" s="95">
        <f>DATE(YEAR(AQ352),MONTH(AQ352)+P352,DAY(AQ352))</f>
        <v>45364</v>
      </c>
      <c r="AT352" s="93" t="s">
        <v>1251</v>
      </c>
      <c r="AU352" s="93" t="s">
        <v>1252</v>
      </c>
      <c r="AV352" s="93" t="s">
        <v>98</v>
      </c>
      <c r="AW352" s="93" t="s">
        <v>1252</v>
      </c>
      <c r="AX352" s="95" t="s">
        <v>99</v>
      </c>
      <c r="AY352" s="93" t="str">
        <f t="shared" ref="AY352:AY363" si="114">#REF!</f>
        <v>#REF!</v>
      </c>
      <c r="AZ352" s="95">
        <f t="shared" ref="AZ352:AZ353" si="115">TODAY()</f>
        <v>46171</v>
      </c>
      <c r="BA352" s="95"/>
    </row>
    <row r="353" ht="30.75" customHeight="1">
      <c r="A353" s="93" t="s">
        <v>81</v>
      </c>
      <c r="B353" s="94" t="s">
        <v>82</v>
      </c>
      <c r="C353" s="94" t="s">
        <v>83</v>
      </c>
      <c r="D353" s="93">
        <v>25.0</v>
      </c>
      <c r="E353" s="93" t="s">
        <v>153</v>
      </c>
      <c r="F353" s="93" t="s">
        <v>1253</v>
      </c>
      <c r="G353" s="93" t="s">
        <v>86</v>
      </c>
      <c r="H353" s="93" t="s">
        <v>1254</v>
      </c>
      <c r="I353" s="93" t="s">
        <v>88</v>
      </c>
      <c r="J353" s="93" t="s">
        <v>1255</v>
      </c>
      <c r="K353" s="93" t="s">
        <v>1256</v>
      </c>
      <c r="L353" s="93" t="s">
        <v>1257</v>
      </c>
      <c r="M353" s="93" t="s">
        <v>1258</v>
      </c>
      <c r="N353" s="93" t="s">
        <v>904</v>
      </c>
      <c r="O353" s="93" t="s">
        <v>647</v>
      </c>
      <c r="P353" s="93">
        <v>12.0</v>
      </c>
      <c r="Q353" s="93">
        <v>1.0</v>
      </c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>
        <v>1.0</v>
      </c>
      <c r="AG353" s="93">
        <v>1.0</v>
      </c>
      <c r="AH353" s="93"/>
      <c r="AI353" s="93"/>
      <c r="AJ353" s="93"/>
      <c r="AK353" s="93"/>
      <c r="AL353" s="93"/>
      <c r="AM353" s="93"/>
      <c r="AN353" s="93"/>
      <c r="AO353" s="93"/>
      <c r="AP353" s="93" t="str">
        <f t="shared" si="113"/>
        <v>#REF!</v>
      </c>
      <c r="AQ353" s="95">
        <v>244082.0</v>
      </c>
      <c r="AR353" s="95">
        <v>244082.0</v>
      </c>
      <c r="AS353" s="95">
        <v>244447.0</v>
      </c>
      <c r="AT353" s="93" t="s">
        <v>1259</v>
      </c>
      <c r="AU353" s="95" t="s">
        <v>98</v>
      </c>
      <c r="AV353" s="95" t="s">
        <v>98</v>
      </c>
      <c r="AW353" s="95" t="s">
        <v>98</v>
      </c>
      <c r="AX353" s="93" t="s">
        <v>99</v>
      </c>
      <c r="AY353" s="93" t="str">
        <f t="shared" si="114"/>
        <v>#REF!</v>
      </c>
      <c r="AZ353" s="95">
        <f t="shared" si="115"/>
        <v>46171</v>
      </c>
      <c r="BA353" s="95"/>
    </row>
    <row r="354" ht="30.75" customHeight="1">
      <c r="A354" s="93"/>
      <c r="B354" s="94" t="s">
        <v>82</v>
      </c>
      <c r="C354" s="94" t="s">
        <v>83</v>
      </c>
      <c r="D354" s="94">
        <v>61.0</v>
      </c>
      <c r="E354" s="93" t="s">
        <v>84</v>
      </c>
      <c r="F354" s="93"/>
      <c r="G354" s="93" t="s">
        <v>86</v>
      </c>
      <c r="H354" s="93"/>
      <c r="I354" s="93"/>
      <c r="J354" s="93" t="s">
        <v>1255</v>
      </c>
      <c r="K354" s="93" t="s">
        <v>1260</v>
      </c>
      <c r="L354" s="93" t="s">
        <v>1261</v>
      </c>
      <c r="M354" s="93" t="s">
        <v>1262</v>
      </c>
      <c r="N354" s="93"/>
      <c r="O354" s="93" t="s">
        <v>647</v>
      </c>
      <c r="P354" s="93">
        <v>12.0</v>
      </c>
      <c r="Q354" s="93">
        <v>1.0</v>
      </c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>
        <v>1.0</v>
      </c>
      <c r="AC354" s="93">
        <v>1.0</v>
      </c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 t="str">
        <f t="shared" si="113"/>
        <v>#REF!</v>
      </c>
      <c r="AQ354" s="95" t="s">
        <v>95</v>
      </c>
      <c r="AR354" s="95" t="s">
        <v>95</v>
      </c>
      <c r="AS354" s="95" t="s">
        <v>96</v>
      </c>
      <c r="AT354" s="93" t="s">
        <v>1263</v>
      </c>
      <c r="AU354" s="93" t="s">
        <v>1264</v>
      </c>
      <c r="AV354" s="93" t="s">
        <v>98</v>
      </c>
      <c r="AW354" s="93" t="s">
        <v>1264</v>
      </c>
      <c r="AX354" s="95" t="s">
        <v>99</v>
      </c>
      <c r="AY354" s="93" t="str">
        <f t="shared" si="114"/>
        <v>#REF!</v>
      </c>
      <c r="AZ354" s="95"/>
      <c r="BA354" s="95"/>
    </row>
    <row r="355" ht="30.75" customHeight="1">
      <c r="A355" s="93"/>
      <c r="B355" s="94" t="s">
        <v>82</v>
      </c>
      <c r="C355" s="94" t="s">
        <v>83</v>
      </c>
      <c r="D355" s="93">
        <v>7.0</v>
      </c>
      <c r="E355" s="93" t="s">
        <v>497</v>
      </c>
      <c r="F355" s="93" t="s">
        <v>1265</v>
      </c>
      <c r="G355" s="93" t="s">
        <v>86</v>
      </c>
      <c r="H355" s="93" t="s">
        <v>1266</v>
      </c>
      <c r="I355" s="93" t="s">
        <v>88</v>
      </c>
      <c r="J355" s="93" t="s">
        <v>1255</v>
      </c>
      <c r="K355" s="93" t="s">
        <v>98</v>
      </c>
      <c r="L355" s="93" t="s">
        <v>1267</v>
      </c>
      <c r="M355" s="93" t="s">
        <v>1268</v>
      </c>
      <c r="N355" s="93" t="s">
        <v>348</v>
      </c>
      <c r="O355" s="93" t="s">
        <v>647</v>
      </c>
      <c r="P355" s="93">
        <v>12.0</v>
      </c>
      <c r="Q355" s="93">
        <v>1.0</v>
      </c>
      <c r="R355" s="93"/>
      <c r="S355" s="93"/>
      <c r="T355" s="93"/>
      <c r="U355" s="93"/>
      <c r="V355" s="93">
        <v>1.0</v>
      </c>
      <c r="W355" s="93">
        <v>1.0</v>
      </c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 t="str">
        <f t="shared" si="113"/>
        <v>#REF!</v>
      </c>
      <c r="AQ355" s="95">
        <v>44998.0</v>
      </c>
      <c r="AR355" s="95">
        <v>44998.0</v>
      </c>
      <c r="AS355" s="95">
        <f t="shared" ref="AS355:AS358" si="116">DATE(YEAR(AQ355),MONTH(AQ355)+P355,DAY(AQ355))</f>
        <v>45364</v>
      </c>
      <c r="AT355" s="93" t="s">
        <v>1269</v>
      </c>
      <c r="AU355" s="93" t="s">
        <v>1270</v>
      </c>
      <c r="AV355" s="93" t="s">
        <v>98</v>
      </c>
      <c r="AW355" s="93" t="s">
        <v>1270</v>
      </c>
      <c r="AX355" s="95" t="s">
        <v>99</v>
      </c>
      <c r="AY355" s="93" t="str">
        <f t="shared" si="114"/>
        <v>#REF!</v>
      </c>
      <c r="AZ355" s="95">
        <f t="shared" ref="AZ355:AZ362" si="117">TODAY()</f>
        <v>46171</v>
      </c>
      <c r="BA355" s="95"/>
    </row>
    <row r="356" ht="30.75" customHeight="1">
      <c r="A356" s="93"/>
      <c r="B356" s="94" t="s">
        <v>82</v>
      </c>
      <c r="C356" s="94" t="s">
        <v>83</v>
      </c>
      <c r="D356" s="93">
        <v>8.0</v>
      </c>
      <c r="E356" s="93" t="s">
        <v>497</v>
      </c>
      <c r="F356" s="93" t="s">
        <v>1265</v>
      </c>
      <c r="G356" s="93" t="s">
        <v>86</v>
      </c>
      <c r="H356" s="93" t="s">
        <v>1266</v>
      </c>
      <c r="I356" s="93" t="s">
        <v>88</v>
      </c>
      <c r="J356" s="93" t="s">
        <v>1255</v>
      </c>
      <c r="K356" s="93" t="s">
        <v>98</v>
      </c>
      <c r="L356" s="93" t="s">
        <v>1267</v>
      </c>
      <c r="M356" s="93" t="s">
        <v>1268</v>
      </c>
      <c r="N356" s="93" t="s">
        <v>348</v>
      </c>
      <c r="O356" s="93" t="s">
        <v>647</v>
      </c>
      <c r="P356" s="93">
        <v>12.0</v>
      </c>
      <c r="Q356" s="93">
        <v>1.0</v>
      </c>
      <c r="R356" s="93"/>
      <c r="S356" s="93"/>
      <c r="T356" s="93"/>
      <c r="U356" s="93"/>
      <c r="V356" s="93">
        <v>1.0</v>
      </c>
      <c r="W356" s="93">
        <v>1.0</v>
      </c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 t="str">
        <f t="shared" si="113"/>
        <v>#REF!</v>
      </c>
      <c r="AQ356" s="95">
        <v>44998.0</v>
      </c>
      <c r="AR356" s="95">
        <v>44998.0</v>
      </c>
      <c r="AS356" s="95">
        <f t="shared" si="116"/>
        <v>45364</v>
      </c>
      <c r="AT356" s="93" t="s">
        <v>1269</v>
      </c>
      <c r="AU356" s="93" t="s">
        <v>1270</v>
      </c>
      <c r="AV356" s="93" t="s">
        <v>98</v>
      </c>
      <c r="AW356" s="93" t="s">
        <v>1270</v>
      </c>
      <c r="AX356" s="95" t="s">
        <v>99</v>
      </c>
      <c r="AY356" s="93" t="str">
        <f t="shared" si="114"/>
        <v>#REF!</v>
      </c>
      <c r="AZ356" s="95">
        <f t="shared" si="117"/>
        <v>46171</v>
      </c>
      <c r="BA356" s="95"/>
    </row>
    <row r="357" ht="30.75" customHeight="1">
      <c r="A357" s="93"/>
      <c r="B357" s="94" t="s">
        <v>82</v>
      </c>
      <c r="C357" s="94" t="s">
        <v>83</v>
      </c>
      <c r="D357" s="93">
        <v>10.0</v>
      </c>
      <c r="E357" s="93" t="s">
        <v>497</v>
      </c>
      <c r="F357" s="93" t="s">
        <v>1271</v>
      </c>
      <c r="G357" s="93" t="s">
        <v>86</v>
      </c>
      <c r="H357" s="93" t="s">
        <v>1272</v>
      </c>
      <c r="I357" s="93" t="s">
        <v>88</v>
      </c>
      <c r="J357" s="93" t="s">
        <v>1255</v>
      </c>
      <c r="K357" s="93" t="s">
        <v>1256</v>
      </c>
      <c r="L357" s="93" t="s">
        <v>1257</v>
      </c>
      <c r="M357" s="93" t="s">
        <v>1273</v>
      </c>
      <c r="N357" s="93" t="s">
        <v>98</v>
      </c>
      <c r="O357" s="93" t="s">
        <v>647</v>
      </c>
      <c r="P357" s="93">
        <v>12.0</v>
      </c>
      <c r="Q357" s="93">
        <v>1.0</v>
      </c>
      <c r="R357" s="93"/>
      <c r="S357" s="93"/>
      <c r="T357" s="93"/>
      <c r="U357" s="93"/>
      <c r="V357" s="93">
        <v>1.0</v>
      </c>
      <c r="W357" s="93">
        <v>1.0</v>
      </c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 t="str">
        <f t="shared" si="113"/>
        <v>#REF!</v>
      </c>
      <c r="AQ357" s="95">
        <v>44998.0</v>
      </c>
      <c r="AR357" s="95">
        <v>44998.0</v>
      </c>
      <c r="AS357" s="95">
        <f t="shared" si="116"/>
        <v>45364</v>
      </c>
      <c r="AT357" s="93" t="s">
        <v>1274</v>
      </c>
      <c r="AU357" s="93" t="s">
        <v>1275</v>
      </c>
      <c r="AV357" s="93" t="s">
        <v>98</v>
      </c>
      <c r="AW357" s="93" t="s">
        <v>1275</v>
      </c>
      <c r="AX357" s="95" t="s">
        <v>99</v>
      </c>
      <c r="AY357" s="93" t="str">
        <f t="shared" si="114"/>
        <v>#REF!</v>
      </c>
      <c r="AZ357" s="95">
        <f t="shared" si="117"/>
        <v>46171</v>
      </c>
      <c r="BA357" s="95"/>
    </row>
    <row r="358" ht="30.75" customHeight="1">
      <c r="A358" s="93"/>
      <c r="B358" s="94" t="s">
        <v>82</v>
      </c>
      <c r="C358" s="94" t="s">
        <v>83</v>
      </c>
      <c r="D358" s="93">
        <v>6.0</v>
      </c>
      <c r="E358" s="93" t="s">
        <v>497</v>
      </c>
      <c r="F358" s="93" t="s">
        <v>1276</v>
      </c>
      <c r="G358" s="93" t="s">
        <v>86</v>
      </c>
      <c r="H358" s="93" t="s">
        <v>98</v>
      </c>
      <c r="I358" s="93" t="s">
        <v>88</v>
      </c>
      <c r="J358" s="93" t="s">
        <v>1255</v>
      </c>
      <c r="K358" s="93" t="s">
        <v>1277</v>
      </c>
      <c r="L358" s="93" t="s">
        <v>1278</v>
      </c>
      <c r="M358" s="93" t="s">
        <v>1279</v>
      </c>
      <c r="N358" s="93" t="s">
        <v>98</v>
      </c>
      <c r="O358" s="93" t="s">
        <v>647</v>
      </c>
      <c r="P358" s="93">
        <v>12.0</v>
      </c>
      <c r="Q358" s="93">
        <v>1.0</v>
      </c>
      <c r="R358" s="93"/>
      <c r="S358" s="93"/>
      <c r="T358" s="93"/>
      <c r="U358" s="93"/>
      <c r="V358" s="93">
        <v>1.0</v>
      </c>
      <c r="W358" s="93">
        <v>1.0</v>
      </c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 t="str">
        <f t="shared" si="113"/>
        <v>#REF!</v>
      </c>
      <c r="AQ358" s="95">
        <v>44998.0</v>
      </c>
      <c r="AR358" s="95">
        <v>44998.0</v>
      </c>
      <c r="AS358" s="95">
        <f t="shared" si="116"/>
        <v>45364</v>
      </c>
      <c r="AT358" s="93" t="s">
        <v>1280</v>
      </c>
      <c r="AU358" s="93" t="s">
        <v>1281</v>
      </c>
      <c r="AV358" s="93" t="s">
        <v>98</v>
      </c>
      <c r="AW358" s="93" t="s">
        <v>1281</v>
      </c>
      <c r="AX358" s="95" t="s">
        <v>99</v>
      </c>
      <c r="AY358" s="93" t="str">
        <f t="shared" si="114"/>
        <v>#REF!</v>
      </c>
      <c r="AZ358" s="95">
        <f t="shared" si="117"/>
        <v>46171</v>
      </c>
      <c r="BA358" s="95"/>
    </row>
    <row r="359" ht="30.75" customHeight="1">
      <c r="A359" s="93"/>
      <c r="B359" s="94"/>
      <c r="C359" s="93" t="s">
        <v>206</v>
      </c>
      <c r="D359" s="93">
        <v>1.0</v>
      </c>
      <c r="E359" s="93" t="s">
        <v>1282</v>
      </c>
      <c r="F359" s="93" t="s">
        <v>1283</v>
      </c>
      <c r="G359" s="93" t="s">
        <v>86</v>
      </c>
      <c r="H359" s="93" t="s">
        <v>1284</v>
      </c>
      <c r="I359" s="93" t="s">
        <v>88</v>
      </c>
      <c r="J359" s="93" t="s">
        <v>1285</v>
      </c>
      <c r="K359" s="93" t="s">
        <v>98</v>
      </c>
      <c r="L359" s="93" t="s">
        <v>98</v>
      </c>
      <c r="M359" s="93" t="e">
        <v>#REF!</v>
      </c>
      <c r="N359" s="93" t="s">
        <v>123</v>
      </c>
      <c r="O359" s="93" t="s">
        <v>124</v>
      </c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 t="s">
        <v>1180</v>
      </c>
      <c r="AR359" s="93" t="s">
        <v>1180</v>
      </c>
      <c r="AS359" s="95" t="str">
        <f t="shared" ref="AS359:AS360" si="118">DATE(YEAR(AQ359),MONTH(AQ359)+Q359,DAY(AQ359))</f>
        <v>#VALUE!</v>
      </c>
      <c r="AT359" s="93" t="s">
        <v>1180</v>
      </c>
      <c r="AU359" s="103"/>
      <c r="AV359" s="93" t="s">
        <v>98</v>
      </c>
      <c r="AW359" s="103"/>
      <c r="AX359" s="93" t="s">
        <v>1286</v>
      </c>
      <c r="AY359" s="93" t="str">
        <f t="shared" si="114"/>
        <v>#REF!</v>
      </c>
      <c r="AZ359" s="95">
        <f t="shared" si="117"/>
        <v>46171</v>
      </c>
      <c r="BA359" s="93"/>
    </row>
    <row r="360" ht="30.75" customHeight="1">
      <c r="A360" s="93"/>
      <c r="B360" s="94"/>
      <c r="C360" s="93" t="s">
        <v>206</v>
      </c>
      <c r="D360" s="93">
        <v>2.0</v>
      </c>
      <c r="E360" s="93" t="s">
        <v>1282</v>
      </c>
      <c r="F360" s="93" t="s">
        <v>98</v>
      </c>
      <c r="G360" s="93" t="s">
        <v>86</v>
      </c>
      <c r="H360" s="93" t="s">
        <v>1287</v>
      </c>
      <c r="I360" s="93" t="s">
        <v>118</v>
      </c>
      <c r="J360" s="93" t="s">
        <v>1288</v>
      </c>
      <c r="K360" s="93" t="s">
        <v>170</v>
      </c>
      <c r="L360" s="93" t="s">
        <v>1289</v>
      </c>
      <c r="M360" s="93" t="s">
        <v>370</v>
      </c>
      <c r="N360" s="93" t="s">
        <v>123</v>
      </c>
      <c r="O360" s="93" t="s">
        <v>124</v>
      </c>
      <c r="P360" s="93">
        <v>12.0</v>
      </c>
      <c r="Q360" s="93"/>
      <c r="R360" s="93" t="s">
        <v>1064</v>
      </c>
      <c r="S360" s="93"/>
      <c r="T360" s="93" t="s">
        <v>1064</v>
      </c>
      <c r="U360" s="93"/>
      <c r="V360" s="93" t="s">
        <v>1064</v>
      </c>
      <c r="W360" s="93"/>
      <c r="X360" s="93" t="s">
        <v>1064</v>
      </c>
      <c r="Y360" s="93"/>
      <c r="Z360" s="93" t="s">
        <v>1064</v>
      </c>
      <c r="AA360" s="93"/>
      <c r="AB360" s="93" t="s">
        <v>1064</v>
      </c>
      <c r="AC360" s="93"/>
      <c r="AD360" s="93" t="s">
        <v>1064</v>
      </c>
      <c r="AE360" s="93"/>
      <c r="AF360" s="93" t="s">
        <v>1064</v>
      </c>
      <c r="AG360" s="93"/>
      <c r="AH360" s="93" t="s">
        <v>1064</v>
      </c>
      <c r="AI360" s="93"/>
      <c r="AJ360" s="93" t="s">
        <v>1064</v>
      </c>
      <c r="AK360" s="93"/>
      <c r="AL360" s="93" t="s">
        <v>1064</v>
      </c>
      <c r="AM360" s="93"/>
      <c r="AN360" s="93" t="s">
        <v>1064</v>
      </c>
      <c r="AO360" s="93"/>
      <c r="AP360" s="93"/>
      <c r="AQ360" s="93" t="s">
        <v>1180</v>
      </c>
      <c r="AR360" s="93" t="s">
        <v>1180</v>
      </c>
      <c r="AS360" s="95" t="str">
        <f t="shared" si="118"/>
        <v>#VALUE!</v>
      </c>
      <c r="AT360" s="93" t="s">
        <v>1180</v>
      </c>
      <c r="AU360" s="103"/>
      <c r="AV360" s="93" t="s">
        <v>98</v>
      </c>
      <c r="AW360" s="103"/>
      <c r="AX360" s="93" t="s">
        <v>1286</v>
      </c>
      <c r="AY360" s="93" t="str">
        <f t="shared" si="114"/>
        <v>#REF!</v>
      </c>
      <c r="AZ360" s="95">
        <f t="shared" si="117"/>
        <v>46171</v>
      </c>
      <c r="BA360" s="93"/>
    </row>
    <row r="361" ht="30.75" customHeight="1">
      <c r="A361" s="93"/>
      <c r="B361" s="94" t="s">
        <v>82</v>
      </c>
      <c r="C361" s="94" t="s">
        <v>83</v>
      </c>
      <c r="D361" s="93">
        <v>9.0</v>
      </c>
      <c r="E361" s="93" t="s">
        <v>497</v>
      </c>
      <c r="F361" s="93" t="s">
        <v>1271</v>
      </c>
      <c r="G361" s="93" t="s">
        <v>86</v>
      </c>
      <c r="H361" s="93" t="s">
        <v>1272</v>
      </c>
      <c r="I361" s="93" t="s">
        <v>88</v>
      </c>
      <c r="J361" s="93" t="s">
        <v>1255</v>
      </c>
      <c r="K361" s="93" t="s">
        <v>1256</v>
      </c>
      <c r="L361" s="93" t="s">
        <v>1257</v>
      </c>
      <c r="M361" s="93" t="s">
        <v>1273</v>
      </c>
      <c r="N361" s="93" t="s">
        <v>98</v>
      </c>
      <c r="O361" s="93" t="s">
        <v>647</v>
      </c>
      <c r="P361" s="93">
        <v>12.0</v>
      </c>
      <c r="Q361" s="93">
        <v>1.0</v>
      </c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>
        <v>1.0</v>
      </c>
      <c r="AC361" s="93">
        <v>1.0</v>
      </c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 t="str">
        <f t="shared" ref="AP361:AP363" si="119">#REF!</f>
        <v>#REF!</v>
      </c>
      <c r="AQ361" s="95" t="s">
        <v>95</v>
      </c>
      <c r="AR361" s="95" t="s">
        <v>95</v>
      </c>
      <c r="AS361" s="95" t="s">
        <v>96</v>
      </c>
      <c r="AT361" s="93" t="s">
        <v>1290</v>
      </c>
      <c r="AU361" s="93" t="s">
        <v>1275</v>
      </c>
      <c r="AV361" s="93" t="s">
        <v>98</v>
      </c>
      <c r="AW361" s="93" t="s">
        <v>1275</v>
      </c>
      <c r="AX361" s="95" t="s">
        <v>99</v>
      </c>
      <c r="AY361" s="93" t="str">
        <f t="shared" si="114"/>
        <v>#REF!</v>
      </c>
      <c r="AZ361" s="95">
        <f t="shared" si="117"/>
        <v>46171</v>
      </c>
      <c r="BA361" s="95"/>
    </row>
    <row r="362" ht="30.75" customHeight="1">
      <c r="A362" s="93"/>
      <c r="B362" s="94" t="s">
        <v>82</v>
      </c>
      <c r="C362" s="94" t="s">
        <v>83</v>
      </c>
      <c r="D362" s="93">
        <v>5.0</v>
      </c>
      <c r="E362" s="93" t="s">
        <v>497</v>
      </c>
      <c r="F362" s="93" t="s">
        <v>1276</v>
      </c>
      <c r="G362" s="93" t="s">
        <v>86</v>
      </c>
      <c r="H362" s="93" t="s">
        <v>98</v>
      </c>
      <c r="I362" s="93" t="s">
        <v>88</v>
      </c>
      <c r="J362" s="93" t="s">
        <v>1255</v>
      </c>
      <c r="K362" s="93" t="s">
        <v>1277</v>
      </c>
      <c r="L362" s="93" t="s">
        <v>1278</v>
      </c>
      <c r="M362" s="93" t="s">
        <v>1279</v>
      </c>
      <c r="N362" s="93" t="s">
        <v>98</v>
      </c>
      <c r="O362" s="93" t="s">
        <v>647</v>
      </c>
      <c r="P362" s="93">
        <v>12.0</v>
      </c>
      <c r="Q362" s="93">
        <v>1.0</v>
      </c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>
        <v>1.0</v>
      </c>
      <c r="AC362" s="93">
        <v>1.0</v>
      </c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 t="str">
        <f t="shared" si="119"/>
        <v>#REF!</v>
      </c>
      <c r="AQ362" s="95" t="s">
        <v>95</v>
      </c>
      <c r="AR362" s="95" t="s">
        <v>95</v>
      </c>
      <c r="AS362" s="95" t="s">
        <v>96</v>
      </c>
      <c r="AT362" s="93" t="s">
        <v>1291</v>
      </c>
      <c r="AU362" s="93" t="s">
        <v>1281</v>
      </c>
      <c r="AV362" s="93" t="s">
        <v>98</v>
      </c>
      <c r="AW362" s="93" t="s">
        <v>1281</v>
      </c>
      <c r="AX362" s="95" t="s">
        <v>99</v>
      </c>
      <c r="AY362" s="93" t="str">
        <f t="shared" si="114"/>
        <v>#REF!</v>
      </c>
      <c r="AZ362" s="95">
        <f t="shared" si="117"/>
        <v>46171</v>
      </c>
      <c r="BA362" s="95"/>
    </row>
    <row r="363" ht="30.75" customHeight="1">
      <c r="A363" s="114"/>
      <c r="B363" s="94" t="s">
        <v>82</v>
      </c>
      <c r="C363" s="116" t="s">
        <v>83</v>
      </c>
      <c r="D363" s="114">
        <v>50.0</v>
      </c>
      <c r="E363" s="117" t="s">
        <v>108</v>
      </c>
      <c r="F363" s="114" t="s">
        <v>1292</v>
      </c>
      <c r="G363" s="114" t="s">
        <v>86</v>
      </c>
      <c r="H363" s="114" t="s">
        <v>1293</v>
      </c>
      <c r="I363" s="114" t="s">
        <v>88</v>
      </c>
      <c r="J363" s="114" t="s">
        <v>1255</v>
      </c>
      <c r="K363" s="114" t="s">
        <v>1294</v>
      </c>
      <c r="L363" s="114" t="s">
        <v>1295</v>
      </c>
      <c r="M363" s="114" t="s">
        <v>98</v>
      </c>
      <c r="N363" s="114" t="s">
        <v>1296</v>
      </c>
      <c r="O363" s="114" t="s">
        <v>647</v>
      </c>
      <c r="P363" s="117">
        <v>12.0</v>
      </c>
      <c r="Q363" s="117">
        <v>1.0</v>
      </c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>
        <v>1.0</v>
      </c>
      <c r="AC363" s="114">
        <v>1.0</v>
      </c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 t="str">
        <f t="shared" si="119"/>
        <v>#REF!</v>
      </c>
      <c r="AQ363" s="118" t="s">
        <v>95</v>
      </c>
      <c r="AR363" s="118" t="s">
        <v>95</v>
      </c>
      <c r="AS363" s="118" t="s">
        <v>96</v>
      </c>
      <c r="AT363" s="114" t="s">
        <v>1297</v>
      </c>
      <c r="AU363" s="114" t="s">
        <v>1298</v>
      </c>
      <c r="AV363" s="114" t="s">
        <v>98</v>
      </c>
      <c r="AW363" s="114" t="s">
        <v>1298</v>
      </c>
      <c r="AX363" s="118" t="s">
        <v>99</v>
      </c>
      <c r="AY363" s="114" t="str">
        <f t="shared" si="114"/>
        <v>#REF!</v>
      </c>
      <c r="AZ363" s="118"/>
      <c r="BA363" s="118"/>
    </row>
    <row r="364" ht="30.75" customHeight="1">
      <c r="A364" s="93"/>
      <c r="B364" s="94" t="s">
        <v>82</v>
      </c>
      <c r="C364" s="94" t="s">
        <v>83</v>
      </c>
      <c r="D364" s="93">
        <v>13.0</v>
      </c>
      <c r="E364" s="93" t="s">
        <v>131</v>
      </c>
      <c r="F364" s="93" t="s">
        <v>1299</v>
      </c>
      <c r="G364" s="93" t="s">
        <v>86</v>
      </c>
      <c r="H364" s="93" t="s">
        <v>98</v>
      </c>
      <c r="I364" s="93" t="s">
        <v>88</v>
      </c>
      <c r="J364" s="93" t="s">
        <v>1300</v>
      </c>
      <c r="K364" s="93" t="s">
        <v>1301</v>
      </c>
      <c r="L364" s="93" t="s">
        <v>1302</v>
      </c>
      <c r="M364" s="93" t="s">
        <v>98</v>
      </c>
      <c r="N364" s="93" t="s">
        <v>98</v>
      </c>
      <c r="O364" s="93" t="s">
        <v>1303</v>
      </c>
      <c r="P364" s="93">
        <v>12.0</v>
      </c>
      <c r="Q364" s="93" t="s">
        <v>98</v>
      </c>
      <c r="R364" s="93" t="s">
        <v>98</v>
      </c>
      <c r="S364" s="93" t="s">
        <v>98</v>
      </c>
      <c r="T364" s="93" t="s">
        <v>98</v>
      </c>
      <c r="U364" s="93" t="s">
        <v>98</v>
      </c>
      <c r="V364" s="93" t="s">
        <v>98</v>
      </c>
      <c r="W364" s="93" t="s">
        <v>98</v>
      </c>
      <c r="X364" s="93" t="s">
        <v>98</v>
      </c>
      <c r="Y364" s="93" t="s">
        <v>98</v>
      </c>
      <c r="Z364" s="93" t="s">
        <v>98</v>
      </c>
      <c r="AA364" s="93" t="s">
        <v>98</v>
      </c>
      <c r="AB364" s="93" t="s">
        <v>98</v>
      </c>
      <c r="AC364" s="93" t="s">
        <v>98</v>
      </c>
      <c r="AD364" s="93" t="s">
        <v>98</v>
      </c>
      <c r="AE364" s="93" t="s">
        <v>98</v>
      </c>
      <c r="AF364" s="93" t="s">
        <v>98</v>
      </c>
      <c r="AG364" s="93" t="s">
        <v>98</v>
      </c>
      <c r="AH364" s="93" t="s">
        <v>98</v>
      </c>
      <c r="AI364" s="93" t="s">
        <v>98</v>
      </c>
      <c r="AJ364" s="93" t="s">
        <v>98</v>
      </c>
      <c r="AK364" s="93" t="s">
        <v>98</v>
      </c>
      <c r="AL364" s="93" t="s">
        <v>98</v>
      </c>
      <c r="AM364" s="93" t="s">
        <v>98</v>
      </c>
      <c r="AN364" s="93" t="s">
        <v>98</v>
      </c>
      <c r="AO364" s="93" t="s">
        <v>98</v>
      </c>
      <c r="AP364" s="93">
        <v>0.0</v>
      </c>
      <c r="AQ364" s="93" t="s">
        <v>98</v>
      </c>
      <c r="AR364" s="93" t="s">
        <v>98</v>
      </c>
      <c r="AS364" s="93" t="e">
        <v>#VALUE!</v>
      </c>
      <c r="AT364" s="93" t="s">
        <v>98</v>
      </c>
      <c r="AU364" s="93" t="s">
        <v>98</v>
      </c>
      <c r="AV364" s="93" t="s">
        <v>98</v>
      </c>
      <c r="AW364" s="93" t="s">
        <v>98</v>
      </c>
      <c r="AX364" s="93" t="s">
        <v>113</v>
      </c>
      <c r="AY364" s="93">
        <v>0.0</v>
      </c>
      <c r="AZ364" s="95">
        <v>45370.0</v>
      </c>
      <c r="BA364" s="95"/>
    </row>
    <row r="365" ht="30.75" customHeight="1">
      <c r="A365" s="93" t="s">
        <v>106</v>
      </c>
      <c r="B365" s="94" t="s">
        <v>82</v>
      </c>
      <c r="C365" s="94" t="s">
        <v>83</v>
      </c>
      <c r="D365" s="93"/>
      <c r="E365" s="93" t="s">
        <v>173</v>
      </c>
      <c r="F365" s="93" t="s">
        <v>1299</v>
      </c>
      <c r="G365" s="93" t="s">
        <v>86</v>
      </c>
      <c r="H365" s="93"/>
      <c r="I365" s="93"/>
      <c r="J365" s="93" t="s">
        <v>1300</v>
      </c>
      <c r="K365" s="93" t="s">
        <v>1301</v>
      </c>
      <c r="L365" s="93" t="s">
        <v>1302</v>
      </c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5"/>
      <c r="AR365" s="95"/>
      <c r="AS365" s="95"/>
      <c r="AT365" s="93"/>
      <c r="AU365" s="93"/>
      <c r="AV365" s="93"/>
      <c r="AW365" s="93"/>
      <c r="AX365" s="95"/>
      <c r="AY365" s="93"/>
      <c r="AZ365" s="95"/>
      <c r="BA365" s="95"/>
    </row>
    <row r="366" ht="30.75" customHeight="1">
      <c r="A366" s="93"/>
      <c r="B366" s="94" t="s">
        <v>82</v>
      </c>
      <c r="C366" s="94" t="s">
        <v>83</v>
      </c>
      <c r="D366" s="93">
        <v>14.0</v>
      </c>
      <c r="E366" s="93" t="s">
        <v>131</v>
      </c>
      <c r="F366" s="93" t="s">
        <v>1304</v>
      </c>
      <c r="G366" s="93" t="s">
        <v>86</v>
      </c>
      <c r="H366" s="93" t="s">
        <v>98</v>
      </c>
      <c r="I366" s="93" t="s">
        <v>88</v>
      </c>
      <c r="J366" s="93" t="s">
        <v>1305</v>
      </c>
      <c r="K366" s="93" t="s">
        <v>1306</v>
      </c>
      <c r="L366" s="93" t="s">
        <v>1306</v>
      </c>
      <c r="M366" s="93" t="s">
        <v>98</v>
      </c>
      <c r="N366" s="93" t="s">
        <v>98</v>
      </c>
      <c r="O366" s="93" t="s">
        <v>1303</v>
      </c>
      <c r="P366" s="93">
        <v>12.0</v>
      </c>
      <c r="Q366" s="93" t="s">
        <v>98</v>
      </c>
      <c r="R366" s="93" t="s">
        <v>98</v>
      </c>
      <c r="S366" s="93" t="s">
        <v>98</v>
      </c>
      <c r="T366" s="93" t="s">
        <v>98</v>
      </c>
      <c r="U366" s="93" t="s">
        <v>98</v>
      </c>
      <c r="V366" s="93" t="s">
        <v>98</v>
      </c>
      <c r="W366" s="93" t="s">
        <v>98</v>
      </c>
      <c r="X366" s="93" t="s">
        <v>98</v>
      </c>
      <c r="Y366" s="93" t="s">
        <v>98</v>
      </c>
      <c r="Z366" s="93" t="s">
        <v>98</v>
      </c>
      <c r="AA366" s="93" t="s">
        <v>98</v>
      </c>
      <c r="AB366" s="93" t="s">
        <v>98</v>
      </c>
      <c r="AC366" s="93" t="s">
        <v>98</v>
      </c>
      <c r="AD366" s="93" t="s">
        <v>98</v>
      </c>
      <c r="AE366" s="93" t="s">
        <v>98</v>
      </c>
      <c r="AF366" s="93" t="s">
        <v>98</v>
      </c>
      <c r="AG366" s="93" t="s">
        <v>98</v>
      </c>
      <c r="AH366" s="93" t="s">
        <v>98</v>
      </c>
      <c r="AI366" s="93" t="s">
        <v>98</v>
      </c>
      <c r="AJ366" s="93" t="s">
        <v>98</v>
      </c>
      <c r="AK366" s="93" t="s">
        <v>98</v>
      </c>
      <c r="AL366" s="93" t="s">
        <v>98</v>
      </c>
      <c r="AM366" s="93" t="s">
        <v>98</v>
      </c>
      <c r="AN366" s="93" t="s">
        <v>98</v>
      </c>
      <c r="AO366" s="93" t="s">
        <v>98</v>
      </c>
      <c r="AP366" s="93">
        <v>0.0</v>
      </c>
      <c r="AQ366" s="93" t="s">
        <v>98</v>
      </c>
      <c r="AR366" s="93" t="s">
        <v>98</v>
      </c>
      <c r="AS366" s="93" t="e">
        <v>#VALUE!</v>
      </c>
      <c r="AT366" s="93" t="s">
        <v>98</v>
      </c>
      <c r="AU366" s="93" t="s">
        <v>98</v>
      </c>
      <c r="AV366" s="93" t="s">
        <v>98</v>
      </c>
      <c r="AW366" s="93" t="s">
        <v>98</v>
      </c>
      <c r="AX366" s="93" t="s">
        <v>113</v>
      </c>
      <c r="AY366" s="93">
        <v>0.0</v>
      </c>
      <c r="AZ366" s="95">
        <v>45370.0</v>
      </c>
      <c r="BA366" s="95"/>
    </row>
    <row r="367" ht="30.75" customHeight="1">
      <c r="A367" s="114"/>
      <c r="B367" s="94" t="s">
        <v>82</v>
      </c>
      <c r="C367" s="116" t="s">
        <v>83</v>
      </c>
      <c r="D367" s="114">
        <v>52.0</v>
      </c>
      <c r="E367" s="117" t="s">
        <v>108</v>
      </c>
      <c r="F367" s="114" t="s">
        <v>1307</v>
      </c>
      <c r="G367" s="114" t="s">
        <v>86</v>
      </c>
      <c r="H367" s="114" t="s">
        <v>1308</v>
      </c>
      <c r="I367" s="114" t="s">
        <v>88</v>
      </c>
      <c r="J367" s="114" t="s">
        <v>1309</v>
      </c>
      <c r="K367" s="114" t="s">
        <v>1310</v>
      </c>
      <c r="L367" s="114" t="s">
        <v>1311</v>
      </c>
      <c r="M367" s="114">
        <v>3153.0</v>
      </c>
      <c r="N367" s="114" t="s">
        <v>1312</v>
      </c>
      <c r="O367" s="114" t="s">
        <v>647</v>
      </c>
      <c r="P367" s="117">
        <v>12.0</v>
      </c>
      <c r="Q367" s="117">
        <v>1.0</v>
      </c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>
        <v>1.0</v>
      </c>
      <c r="AC367" s="114">
        <v>1.0</v>
      </c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 t="str">
        <f t="shared" ref="AP367:AP368" si="120">#REF!</f>
        <v>#REF!</v>
      </c>
      <c r="AQ367" s="118" t="s">
        <v>95</v>
      </c>
      <c r="AR367" s="118" t="s">
        <v>95</v>
      </c>
      <c r="AS367" s="118" t="s">
        <v>96</v>
      </c>
      <c r="AT367" s="114" t="s">
        <v>1313</v>
      </c>
      <c r="AU367" s="118" t="s">
        <v>98</v>
      </c>
      <c r="AV367" s="118" t="s">
        <v>98</v>
      </c>
      <c r="AW367" s="118" t="s">
        <v>98</v>
      </c>
      <c r="AX367" s="114" t="s">
        <v>113</v>
      </c>
      <c r="AY367" s="114" t="str">
        <f t="shared" ref="AY367:AY368" si="121">#REF!</f>
        <v>#REF!</v>
      </c>
      <c r="AZ367" s="118">
        <f t="shared" ref="AZ367:AZ368" si="122">TODAY()</f>
        <v>46171</v>
      </c>
      <c r="BA367" s="118"/>
    </row>
    <row r="368" ht="30.75" customHeight="1">
      <c r="A368" s="93" t="s">
        <v>81</v>
      </c>
      <c r="B368" s="94" t="s">
        <v>82</v>
      </c>
      <c r="C368" s="94" t="s">
        <v>83</v>
      </c>
      <c r="D368" s="93">
        <v>18.0</v>
      </c>
      <c r="E368" s="93" t="s">
        <v>116</v>
      </c>
      <c r="F368" s="93" t="s">
        <v>1314</v>
      </c>
      <c r="G368" s="93" t="s">
        <v>86</v>
      </c>
      <c r="H368" s="93" t="s">
        <v>1315</v>
      </c>
      <c r="I368" s="93" t="s">
        <v>88</v>
      </c>
      <c r="J368" s="93" t="s">
        <v>1316</v>
      </c>
      <c r="K368" s="93" t="s">
        <v>1317</v>
      </c>
      <c r="L368" s="93" t="s">
        <v>1318</v>
      </c>
      <c r="M368" s="102" t="s">
        <v>1319</v>
      </c>
      <c r="N368" s="93" t="s">
        <v>1320</v>
      </c>
      <c r="O368" s="93" t="s">
        <v>647</v>
      </c>
      <c r="P368" s="93">
        <v>12.0</v>
      </c>
      <c r="Q368" s="93">
        <v>1.0</v>
      </c>
      <c r="R368" s="93"/>
      <c r="S368" s="93"/>
      <c r="T368" s="93"/>
      <c r="U368" s="93"/>
      <c r="V368" s="93">
        <v>1.0</v>
      </c>
      <c r="W368" s="93">
        <v>1.0</v>
      </c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 t="str">
        <f t="shared" si="120"/>
        <v>#REF!</v>
      </c>
      <c r="AQ368" s="95">
        <v>44998.0</v>
      </c>
      <c r="AR368" s="95">
        <v>44998.0</v>
      </c>
      <c r="AS368" s="95">
        <f>DATE(YEAR(AQ368),MONTH(AQ368)+P368,DAY(AQ368))</f>
        <v>45364</v>
      </c>
      <c r="AT368" s="93" t="s">
        <v>1321</v>
      </c>
      <c r="AU368" s="93" t="s">
        <v>1322</v>
      </c>
      <c r="AV368" s="93" t="s">
        <v>98</v>
      </c>
      <c r="AW368" s="93" t="s">
        <v>1322</v>
      </c>
      <c r="AX368" s="95" t="s">
        <v>99</v>
      </c>
      <c r="AY368" s="93" t="str">
        <f t="shared" si="121"/>
        <v>#REF!</v>
      </c>
      <c r="AZ368" s="95">
        <f t="shared" si="122"/>
        <v>46171</v>
      </c>
      <c r="BA368" s="95"/>
    </row>
    <row r="369" ht="30.75" customHeight="1">
      <c r="A369" s="93" t="s">
        <v>106</v>
      </c>
      <c r="B369" s="94" t="s">
        <v>82</v>
      </c>
      <c r="C369" s="94" t="s">
        <v>83</v>
      </c>
      <c r="D369" s="93"/>
      <c r="E369" s="93" t="s">
        <v>116</v>
      </c>
      <c r="F369" s="93" t="s">
        <v>1323</v>
      </c>
      <c r="G369" s="93" t="s">
        <v>86</v>
      </c>
      <c r="H369" s="93"/>
      <c r="I369" s="93"/>
      <c r="J369" s="93" t="s">
        <v>1316</v>
      </c>
      <c r="K369" s="93" t="s">
        <v>1324</v>
      </c>
      <c r="L369" s="93" t="s">
        <v>1325</v>
      </c>
      <c r="M369" s="102" t="s">
        <v>1326</v>
      </c>
      <c r="N369" s="93" t="s">
        <v>1320</v>
      </c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5"/>
      <c r="AR369" s="95"/>
      <c r="AS369" s="95"/>
      <c r="AT369" s="93"/>
      <c r="AU369" s="93"/>
      <c r="AV369" s="93"/>
      <c r="AW369" s="93"/>
      <c r="AX369" s="95"/>
      <c r="AY369" s="93"/>
      <c r="AZ369" s="95"/>
      <c r="BA369" s="95"/>
    </row>
    <row r="370" ht="30.75" customHeight="1">
      <c r="A370" s="93"/>
      <c r="B370" s="94" t="s">
        <v>82</v>
      </c>
      <c r="C370" s="94" t="s">
        <v>83</v>
      </c>
      <c r="D370" s="94">
        <v>63.0</v>
      </c>
      <c r="E370" s="93" t="s">
        <v>84</v>
      </c>
      <c r="F370" s="93" t="s">
        <v>1327</v>
      </c>
      <c r="G370" s="93" t="s">
        <v>86</v>
      </c>
      <c r="H370" s="93" t="s">
        <v>1328</v>
      </c>
      <c r="I370" s="93" t="s">
        <v>88</v>
      </c>
      <c r="J370" s="93" t="s">
        <v>1329</v>
      </c>
      <c r="K370" s="93" t="s">
        <v>1330</v>
      </c>
      <c r="L370" s="93" t="s">
        <v>1331</v>
      </c>
      <c r="M370" s="93">
        <v>1014196.0</v>
      </c>
      <c r="N370" s="93" t="s">
        <v>1062</v>
      </c>
      <c r="O370" s="93" t="s">
        <v>606</v>
      </c>
      <c r="P370" s="93">
        <v>12.0</v>
      </c>
      <c r="Q370" s="93">
        <v>1.0</v>
      </c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>
        <v>1.0</v>
      </c>
      <c r="AC370" s="93">
        <v>1.0</v>
      </c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 t="str">
        <f t="shared" ref="AP370:AP371" si="123">#REF!</f>
        <v>#REF!</v>
      </c>
      <c r="AQ370" s="95" t="s">
        <v>95</v>
      </c>
      <c r="AR370" s="95" t="s">
        <v>95</v>
      </c>
      <c r="AS370" s="95" t="str">
        <f>DATE(YEAR(AQ370),MONTH(AQ370)+P370,DAY(AQ370))</f>
        <v>#VALUE!</v>
      </c>
      <c r="AT370" s="93" t="s">
        <v>1332</v>
      </c>
      <c r="AU370" s="93" t="s">
        <v>1333</v>
      </c>
      <c r="AV370" s="93" t="s">
        <v>1334</v>
      </c>
      <c r="AW370" s="93" t="s">
        <v>1335</v>
      </c>
      <c r="AX370" s="95" t="s">
        <v>99</v>
      </c>
      <c r="AY370" s="93" t="str">
        <f t="shared" ref="AY370:AY403" si="124">#REF!</f>
        <v>#REF!</v>
      </c>
      <c r="AZ370" s="95">
        <f t="shared" ref="AZ370:AZ407" si="125">TODAY()</f>
        <v>46171</v>
      </c>
      <c r="BA370" s="95"/>
    </row>
    <row r="371" ht="30.75" customHeight="1">
      <c r="A371" s="93"/>
      <c r="B371" s="94" t="s">
        <v>82</v>
      </c>
      <c r="C371" s="94" t="s">
        <v>83</v>
      </c>
      <c r="D371" s="93">
        <v>64.0</v>
      </c>
      <c r="E371" s="93" t="s">
        <v>84</v>
      </c>
      <c r="F371" s="93" t="s">
        <v>1336</v>
      </c>
      <c r="G371" s="93" t="s">
        <v>86</v>
      </c>
      <c r="H371" s="93"/>
      <c r="I371" s="93"/>
      <c r="J371" s="93" t="s">
        <v>1337</v>
      </c>
      <c r="K371" s="93" t="s">
        <v>1330</v>
      </c>
      <c r="L371" s="93" t="s">
        <v>1338</v>
      </c>
      <c r="M371" s="93">
        <v>2060744.0</v>
      </c>
      <c r="N371" s="93" t="s">
        <v>1339</v>
      </c>
      <c r="O371" s="93" t="s">
        <v>606</v>
      </c>
      <c r="P371" s="93">
        <v>12.0</v>
      </c>
      <c r="Q371" s="93">
        <v>1.0</v>
      </c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>
        <v>1.0</v>
      </c>
      <c r="AC371" s="93">
        <v>1.0</v>
      </c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 t="str">
        <f t="shared" si="123"/>
        <v>#REF!</v>
      </c>
      <c r="AQ371" s="95" t="s">
        <v>95</v>
      </c>
      <c r="AR371" s="95" t="s">
        <v>95</v>
      </c>
      <c r="AS371" s="95" t="s">
        <v>96</v>
      </c>
      <c r="AT371" s="93" t="s">
        <v>1340</v>
      </c>
      <c r="AU371" s="93" t="s">
        <v>1341</v>
      </c>
      <c r="AV371" s="93" t="s">
        <v>1334</v>
      </c>
      <c r="AW371" s="93" t="s">
        <v>1342</v>
      </c>
      <c r="AX371" s="95" t="s">
        <v>99</v>
      </c>
      <c r="AY371" s="93" t="str">
        <f t="shared" si="124"/>
        <v>#REF!</v>
      </c>
      <c r="AZ371" s="95">
        <f t="shared" si="125"/>
        <v>46171</v>
      </c>
      <c r="BA371" s="95"/>
    </row>
    <row r="372" ht="30.75" customHeight="1">
      <c r="A372" s="114" t="s">
        <v>81</v>
      </c>
      <c r="B372" s="94" t="s">
        <v>82</v>
      </c>
      <c r="C372" s="116" t="s">
        <v>83</v>
      </c>
      <c r="D372" s="114">
        <v>53.0</v>
      </c>
      <c r="E372" s="117" t="s">
        <v>108</v>
      </c>
      <c r="F372" s="114" t="s">
        <v>1343</v>
      </c>
      <c r="G372" s="114" t="s">
        <v>86</v>
      </c>
      <c r="H372" s="114" t="s">
        <v>1344</v>
      </c>
      <c r="I372" s="114" t="s">
        <v>88</v>
      </c>
      <c r="J372" s="114" t="s">
        <v>1345</v>
      </c>
      <c r="K372" s="114" t="s">
        <v>646</v>
      </c>
      <c r="L372" s="114" t="s">
        <v>1346</v>
      </c>
      <c r="M372" s="114" t="s">
        <v>1347</v>
      </c>
      <c r="N372" s="114" t="s">
        <v>1348</v>
      </c>
      <c r="O372" s="114" t="s">
        <v>647</v>
      </c>
      <c r="P372" s="117">
        <v>12.0</v>
      </c>
      <c r="Q372" s="117">
        <v>1.0</v>
      </c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>
        <v>1.0</v>
      </c>
      <c r="AC372" s="114">
        <v>1.0</v>
      </c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8" t="s">
        <v>95</v>
      </c>
      <c r="AR372" s="118" t="s">
        <v>95</v>
      </c>
      <c r="AS372" s="118" t="s">
        <v>96</v>
      </c>
      <c r="AT372" s="114" t="s">
        <v>1349</v>
      </c>
      <c r="AU372" s="114" t="s">
        <v>1350</v>
      </c>
      <c r="AV372" s="114" t="s">
        <v>98</v>
      </c>
      <c r="AW372" s="114" t="s">
        <v>1350</v>
      </c>
      <c r="AX372" s="118" t="s">
        <v>99</v>
      </c>
      <c r="AY372" s="114" t="str">
        <f t="shared" si="124"/>
        <v>#REF!</v>
      </c>
      <c r="AZ372" s="118">
        <f t="shared" si="125"/>
        <v>46171</v>
      </c>
      <c r="BA372" s="118"/>
    </row>
    <row r="373" ht="30.75" customHeight="1">
      <c r="A373" s="114" t="s">
        <v>81</v>
      </c>
      <c r="B373" s="94" t="s">
        <v>82</v>
      </c>
      <c r="C373" s="116" t="s">
        <v>83</v>
      </c>
      <c r="D373" s="114">
        <v>51.0</v>
      </c>
      <c r="E373" s="117" t="s">
        <v>108</v>
      </c>
      <c r="F373" s="114" t="s">
        <v>1351</v>
      </c>
      <c r="G373" s="114" t="s">
        <v>86</v>
      </c>
      <c r="H373" s="139"/>
      <c r="I373" s="114" t="s">
        <v>88</v>
      </c>
      <c r="J373" s="114" t="s">
        <v>1352</v>
      </c>
      <c r="K373" s="114" t="s">
        <v>1353</v>
      </c>
      <c r="L373" s="114" t="s">
        <v>1354</v>
      </c>
      <c r="M373" s="114">
        <v>1.91230549E8</v>
      </c>
      <c r="N373" s="114"/>
      <c r="O373" s="114"/>
      <c r="P373" s="117">
        <v>12.0</v>
      </c>
      <c r="Q373" s="117">
        <v>1.0</v>
      </c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>
        <v>1.0</v>
      </c>
      <c r="AC373" s="114">
        <v>1.0</v>
      </c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 t="str">
        <f t="shared" ref="AP373:AP375" si="126">#REF!</f>
        <v>#REF!</v>
      </c>
      <c r="AQ373" s="118" t="s">
        <v>95</v>
      </c>
      <c r="AR373" s="118" t="s">
        <v>95</v>
      </c>
      <c r="AS373" s="118" t="s">
        <v>96</v>
      </c>
      <c r="AT373" s="114" t="s">
        <v>1355</v>
      </c>
      <c r="AU373" s="114" t="s">
        <v>1356</v>
      </c>
      <c r="AV373" s="114" t="s">
        <v>1357</v>
      </c>
      <c r="AW373" s="114" t="s">
        <v>1358</v>
      </c>
      <c r="AX373" s="118" t="s">
        <v>99</v>
      </c>
      <c r="AY373" s="114" t="str">
        <f t="shared" si="124"/>
        <v>#REF!</v>
      </c>
      <c r="AZ373" s="118">
        <f t="shared" si="125"/>
        <v>46171</v>
      </c>
      <c r="BA373" s="118"/>
    </row>
    <row r="374" ht="30.75" customHeight="1">
      <c r="A374" s="93"/>
      <c r="B374" s="94" t="s">
        <v>82</v>
      </c>
      <c r="C374" s="94" t="s">
        <v>83</v>
      </c>
      <c r="D374" s="93">
        <v>14.0</v>
      </c>
      <c r="E374" s="93" t="s">
        <v>1359</v>
      </c>
      <c r="F374" s="93"/>
      <c r="G374" s="93" t="s">
        <v>86</v>
      </c>
      <c r="H374" s="93"/>
      <c r="I374" s="93"/>
      <c r="J374" s="93" t="s">
        <v>1360</v>
      </c>
      <c r="K374" s="93" t="s">
        <v>1324</v>
      </c>
      <c r="L374" s="93" t="s">
        <v>1361</v>
      </c>
      <c r="M374" s="93" t="s">
        <v>1362</v>
      </c>
      <c r="N374" s="93"/>
      <c r="O374" s="93" t="s">
        <v>606</v>
      </c>
      <c r="P374" s="93">
        <v>12.0</v>
      </c>
      <c r="Q374" s="93">
        <v>1.0</v>
      </c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>
        <v>1.0</v>
      </c>
      <c r="AC374" s="93">
        <v>1.0</v>
      </c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 t="str">
        <f t="shared" si="126"/>
        <v>#REF!</v>
      </c>
      <c r="AQ374" s="95" t="s">
        <v>95</v>
      </c>
      <c r="AR374" s="95" t="s">
        <v>95</v>
      </c>
      <c r="AS374" s="95" t="s">
        <v>96</v>
      </c>
      <c r="AT374" s="93" t="s">
        <v>1363</v>
      </c>
      <c r="AU374" s="93" t="s">
        <v>1364</v>
      </c>
      <c r="AV374" s="93" t="s">
        <v>98</v>
      </c>
      <c r="AW374" s="93" t="s">
        <v>1364</v>
      </c>
      <c r="AX374" s="95" t="s">
        <v>99</v>
      </c>
      <c r="AY374" s="93" t="str">
        <f t="shared" si="124"/>
        <v>#REF!</v>
      </c>
      <c r="AZ374" s="95">
        <f t="shared" si="125"/>
        <v>46171</v>
      </c>
      <c r="BA374" s="95"/>
    </row>
    <row r="375" ht="30.75" customHeight="1">
      <c r="A375" s="93"/>
      <c r="B375" s="94" t="s">
        <v>82</v>
      </c>
      <c r="C375" s="94" t="s">
        <v>83</v>
      </c>
      <c r="D375" s="93">
        <v>15.0</v>
      </c>
      <c r="E375" s="93" t="s">
        <v>1359</v>
      </c>
      <c r="F375" s="93" t="s">
        <v>1304</v>
      </c>
      <c r="G375" s="93"/>
      <c r="H375" s="93"/>
      <c r="I375" s="93"/>
      <c r="J375" s="93" t="s">
        <v>1360</v>
      </c>
      <c r="K375" s="93" t="s">
        <v>1324</v>
      </c>
      <c r="L375" s="93" t="s">
        <v>1361</v>
      </c>
      <c r="M375" s="93" t="s">
        <v>1365</v>
      </c>
      <c r="N375" s="93"/>
      <c r="O375" s="93" t="s">
        <v>606</v>
      </c>
      <c r="P375" s="93">
        <v>12.0</v>
      </c>
      <c r="Q375" s="93">
        <v>1.0</v>
      </c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>
        <v>1.0</v>
      </c>
      <c r="AC375" s="93">
        <v>1.0</v>
      </c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 t="str">
        <f t="shared" si="126"/>
        <v>#REF!</v>
      </c>
      <c r="AQ375" s="95" t="s">
        <v>95</v>
      </c>
      <c r="AR375" s="95" t="s">
        <v>95</v>
      </c>
      <c r="AS375" s="95" t="s">
        <v>96</v>
      </c>
      <c r="AT375" s="93" t="s">
        <v>1366</v>
      </c>
      <c r="AU375" s="93" t="s">
        <v>1367</v>
      </c>
      <c r="AV375" s="93" t="s">
        <v>98</v>
      </c>
      <c r="AW375" s="93" t="s">
        <v>1367</v>
      </c>
      <c r="AX375" s="95" t="s">
        <v>99</v>
      </c>
      <c r="AY375" s="93" t="str">
        <f t="shared" si="124"/>
        <v>#REF!</v>
      </c>
      <c r="AZ375" s="95">
        <f t="shared" si="125"/>
        <v>46171</v>
      </c>
      <c r="BA375" s="95"/>
    </row>
    <row r="376" ht="30.75" customHeight="1">
      <c r="A376" s="93"/>
      <c r="B376" s="94" t="s">
        <v>82</v>
      </c>
      <c r="C376" s="94" t="s">
        <v>83</v>
      </c>
      <c r="D376" s="94">
        <v>65.0</v>
      </c>
      <c r="E376" s="93" t="s">
        <v>84</v>
      </c>
      <c r="F376" s="93" t="s">
        <v>1368</v>
      </c>
      <c r="G376" s="93" t="s">
        <v>86</v>
      </c>
      <c r="H376" s="93" t="s">
        <v>1369</v>
      </c>
      <c r="I376" s="93" t="s">
        <v>88</v>
      </c>
      <c r="J376" s="93" t="s">
        <v>1370</v>
      </c>
      <c r="K376" s="93" t="s">
        <v>1330</v>
      </c>
      <c r="L376" s="93" t="s">
        <v>1371</v>
      </c>
      <c r="M376" s="93">
        <v>2035185.0</v>
      </c>
      <c r="N376" s="93" t="s">
        <v>1062</v>
      </c>
      <c r="O376" s="93" t="s">
        <v>606</v>
      </c>
      <c r="P376" s="93">
        <v>12.0</v>
      </c>
      <c r="Q376" s="93">
        <v>1.0</v>
      </c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>
        <v>1.0</v>
      </c>
      <c r="AC376" s="93">
        <v>1.0</v>
      </c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>
        <v>0.0</v>
      </c>
      <c r="AQ376" s="95" t="s">
        <v>95</v>
      </c>
      <c r="AR376" s="95" t="s">
        <v>95</v>
      </c>
      <c r="AS376" s="95" t="s">
        <v>96</v>
      </c>
      <c r="AT376" s="93" t="s">
        <v>1372</v>
      </c>
      <c r="AU376" s="95" t="s">
        <v>98</v>
      </c>
      <c r="AV376" s="95" t="s">
        <v>98</v>
      </c>
      <c r="AW376" s="95" t="s">
        <v>98</v>
      </c>
      <c r="AX376" s="95" t="s">
        <v>99</v>
      </c>
      <c r="AY376" s="93" t="str">
        <f t="shared" si="124"/>
        <v>#REF!</v>
      </c>
      <c r="AZ376" s="95">
        <f t="shared" si="125"/>
        <v>46171</v>
      </c>
      <c r="BA376" s="95"/>
    </row>
    <row r="377" ht="30.75" customHeight="1">
      <c r="A377" s="93"/>
      <c r="B377" s="94" t="s">
        <v>82</v>
      </c>
      <c r="C377" s="94" t="s">
        <v>83</v>
      </c>
      <c r="D377" s="93">
        <v>66.0</v>
      </c>
      <c r="E377" s="93" t="s">
        <v>84</v>
      </c>
      <c r="F377" s="93" t="s">
        <v>1373</v>
      </c>
      <c r="G377" s="93" t="s">
        <v>86</v>
      </c>
      <c r="H377" s="93" t="s">
        <v>1374</v>
      </c>
      <c r="I377" s="93" t="s">
        <v>88</v>
      </c>
      <c r="J377" s="93" t="s">
        <v>1375</v>
      </c>
      <c r="K377" s="93" t="s">
        <v>1376</v>
      </c>
      <c r="L377" s="93" t="s">
        <v>1371</v>
      </c>
      <c r="M377" s="93">
        <v>973162.0</v>
      </c>
      <c r="N377" s="93" t="s">
        <v>1062</v>
      </c>
      <c r="O377" s="93" t="s">
        <v>606</v>
      </c>
      <c r="P377" s="93">
        <v>12.0</v>
      </c>
      <c r="Q377" s="93">
        <v>1.0</v>
      </c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>
        <v>1.0</v>
      </c>
      <c r="AC377" s="93">
        <v>1.0</v>
      </c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>
        <v>0.0</v>
      </c>
      <c r="AQ377" s="95" t="s">
        <v>95</v>
      </c>
      <c r="AR377" s="95" t="s">
        <v>95</v>
      </c>
      <c r="AS377" s="95" t="s">
        <v>96</v>
      </c>
      <c r="AT377" s="93" t="s">
        <v>1377</v>
      </c>
      <c r="AU377" s="93" t="s">
        <v>1378</v>
      </c>
      <c r="AV377" s="93" t="s">
        <v>1379</v>
      </c>
      <c r="AW377" s="93" t="s">
        <v>1380</v>
      </c>
      <c r="AX377" s="95" t="s">
        <v>99</v>
      </c>
      <c r="AY377" s="93" t="str">
        <f t="shared" si="124"/>
        <v>#REF!</v>
      </c>
      <c r="AZ377" s="95">
        <f t="shared" si="125"/>
        <v>46171</v>
      </c>
      <c r="BA377" s="95"/>
    </row>
    <row r="378" ht="30.75" customHeight="1">
      <c r="A378" s="93"/>
      <c r="B378" s="94" t="s">
        <v>82</v>
      </c>
      <c r="C378" s="94" t="s">
        <v>83</v>
      </c>
      <c r="D378" s="94">
        <v>67.0</v>
      </c>
      <c r="E378" s="93" t="s">
        <v>84</v>
      </c>
      <c r="F378" s="93" t="s">
        <v>1381</v>
      </c>
      <c r="G378" s="93" t="s">
        <v>86</v>
      </c>
      <c r="H378" s="93" t="s">
        <v>1382</v>
      </c>
      <c r="I378" s="93" t="s">
        <v>88</v>
      </c>
      <c r="J378" s="93" t="s">
        <v>1383</v>
      </c>
      <c r="K378" s="93" t="s">
        <v>1330</v>
      </c>
      <c r="L378" s="93" t="s">
        <v>1371</v>
      </c>
      <c r="M378" s="93">
        <v>2003523.0</v>
      </c>
      <c r="N378" s="93" t="s">
        <v>1062</v>
      </c>
      <c r="O378" s="93" t="s">
        <v>606</v>
      </c>
      <c r="P378" s="93">
        <v>12.0</v>
      </c>
      <c r="Q378" s="93">
        <v>1.0</v>
      </c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>
        <v>1.0</v>
      </c>
      <c r="AC378" s="93">
        <v>1.0</v>
      </c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 t="str">
        <f t="shared" ref="AP378:AP379" si="127">#REF!</f>
        <v>#REF!</v>
      </c>
      <c r="AQ378" s="95" t="s">
        <v>95</v>
      </c>
      <c r="AR378" s="95" t="s">
        <v>95</v>
      </c>
      <c r="AS378" s="95" t="s">
        <v>96</v>
      </c>
      <c r="AT378" s="93" t="s">
        <v>1384</v>
      </c>
      <c r="AU378" s="93" t="s">
        <v>1385</v>
      </c>
      <c r="AV378" s="93" t="s">
        <v>1386</v>
      </c>
      <c r="AW378" s="93" t="s">
        <v>1387</v>
      </c>
      <c r="AX378" s="95" t="s">
        <v>99</v>
      </c>
      <c r="AY378" s="93" t="str">
        <f t="shared" si="124"/>
        <v>#REF!</v>
      </c>
      <c r="AZ378" s="95">
        <f t="shared" si="125"/>
        <v>46171</v>
      </c>
      <c r="BA378" s="95"/>
    </row>
    <row r="379" ht="30.75" customHeight="1">
      <c r="A379" s="93"/>
      <c r="B379" s="94" t="s">
        <v>82</v>
      </c>
      <c r="C379" s="94" t="s">
        <v>83</v>
      </c>
      <c r="D379" s="93">
        <v>68.0</v>
      </c>
      <c r="E379" s="93" t="s">
        <v>84</v>
      </c>
      <c r="F379" s="93" t="s">
        <v>1388</v>
      </c>
      <c r="G379" s="93" t="s">
        <v>86</v>
      </c>
      <c r="H379" s="93" t="s">
        <v>1389</v>
      </c>
      <c r="I379" s="93" t="s">
        <v>88</v>
      </c>
      <c r="J379" s="93" t="s">
        <v>1390</v>
      </c>
      <c r="K379" s="93" t="s">
        <v>1330</v>
      </c>
      <c r="L379" s="93" t="s">
        <v>1391</v>
      </c>
      <c r="M379" s="93">
        <v>2003520.0</v>
      </c>
      <c r="N379" s="93" t="s">
        <v>1062</v>
      </c>
      <c r="O379" s="93" t="s">
        <v>606</v>
      </c>
      <c r="P379" s="93">
        <v>12.0</v>
      </c>
      <c r="Q379" s="93">
        <v>1.0</v>
      </c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>
        <v>1.0</v>
      </c>
      <c r="AC379" s="93">
        <v>1.0</v>
      </c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 t="str">
        <f t="shared" si="127"/>
        <v>#REF!</v>
      </c>
      <c r="AQ379" s="95" t="s">
        <v>95</v>
      </c>
      <c r="AR379" s="95" t="s">
        <v>95</v>
      </c>
      <c r="AS379" s="95" t="str">
        <f>DATE(YEAR(AQ379),MONTH(AQ379)+P379,DAY(AQ379))</f>
        <v>#VALUE!</v>
      </c>
      <c r="AT379" s="93" t="s">
        <v>1392</v>
      </c>
      <c r="AU379" s="93" t="s">
        <v>1393</v>
      </c>
      <c r="AV379" s="93" t="s">
        <v>1394</v>
      </c>
      <c r="AW379" s="93" t="s">
        <v>1395</v>
      </c>
      <c r="AX379" s="95" t="s">
        <v>99</v>
      </c>
      <c r="AY379" s="93" t="str">
        <f t="shared" si="124"/>
        <v>#REF!</v>
      </c>
      <c r="AZ379" s="95">
        <f t="shared" si="125"/>
        <v>46171</v>
      </c>
      <c r="BA379" s="95"/>
    </row>
    <row r="380" ht="30.75" customHeight="1">
      <c r="A380" s="93"/>
      <c r="B380" s="94" t="s">
        <v>82</v>
      </c>
      <c r="C380" s="94" t="s">
        <v>83</v>
      </c>
      <c r="D380" s="94">
        <v>69.0</v>
      </c>
      <c r="E380" s="93" t="s">
        <v>84</v>
      </c>
      <c r="F380" s="93" t="s">
        <v>1396</v>
      </c>
      <c r="G380" s="93" t="s">
        <v>86</v>
      </c>
      <c r="H380" s="93" t="s">
        <v>1397</v>
      </c>
      <c r="I380" s="93" t="s">
        <v>88</v>
      </c>
      <c r="J380" s="93" t="s">
        <v>1398</v>
      </c>
      <c r="K380" s="93" t="s">
        <v>1330</v>
      </c>
      <c r="L380" s="93" t="s">
        <v>1399</v>
      </c>
      <c r="M380" s="93">
        <v>976489.0</v>
      </c>
      <c r="N380" s="93" t="s">
        <v>1062</v>
      </c>
      <c r="O380" s="93" t="s">
        <v>606</v>
      </c>
      <c r="P380" s="93">
        <v>12.0</v>
      </c>
      <c r="Q380" s="93">
        <v>1.0</v>
      </c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>
        <v>1.0</v>
      </c>
      <c r="AC380" s="93">
        <v>1.0</v>
      </c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>
        <v>0.0</v>
      </c>
      <c r="AQ380" s="95" t="s">
        <v>95</v>
      </c>
      <c r="AR380" s="95" t="s">
        <v>95</v>
      </c>
      <c r="AS380" s="95" t="s">
        <v>96</v>
      </c>
      <c r="AT380" s="93" t="s">
        <v>1400</v>
      </c>
      <c r="AU380" s="93" t="s">
        <v>1401</v>
      </c>
      <c r="AV380" s="93" t="s">
        <v>1402</v>
      </c>
      <c r="AW380" s="93" t="s">
        <v>1403</v>
      </c>
      <c r="AX380" s="95" t="s">
        <v>99</v>
      </c>
      <c r="AY380" s="93" t="str">
        <f t="shared" si="124"/>
        <v>#REF!</v>
      </c>
      <c r="AZ380" s="95">
        <f t="shared" si="125"/>
        <v>46171</v>
      </c>
      <c r="BA380" s="95"/>
    </row>
    <row r="381" ht="30.75" customHeight="1">
      <c r="A381" s="93"/>
      <c r="B381" s="94" t="s">
        <v>82</v>
      </c>
      <c r="C381" s="94" t="s">
        <v>83</v>
      </c>
      <c r="D381" s="93">
        <v>70.0</v>
      </c>
      <c r="E381" s="93" t="s">
        <v>84</v>
      </c>
      <c r="F381" s="93" t="s">
        <v>1404</v>
      </c>
      <c r="G381" s="93" t="s">
        <v>86</v>
      </c>
      <c r="H381" s="93" t="s">
        <v>1405</v>
      </c>
      <c r="I381" s="93" t="s">
        <v>88</v>
      </c>
      <c r="J381" s="93" t="s">
        <v>1406</v>
      </c>
      <c r="K381" s="93" t="s">
        <v>610</v>
      </c>
      <c r="L381" s="93" t="s">
        <v>1407</v>
      </c>
      <c r="M381" s="93">
        <v>7305048.0</v>
      </c>
      <c r="N381" s="93" t="s">
        <v>612</v>
      </c>
      <c r="O381" s="93" t="s">
        <v>606</v>
      </c>
      <c r="P381" s="93">
        <v>12.0</v>
      </c>
      <c r="Q381" s="93">
        <v>1.0</v>
      </c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>
        <v>1.0</v>
      </c>
      <c r="AC381" s="93">
        <v>1.0</v>
      </c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>
        <v>0.0</v>
      </c>
      <c r="AQ381" s="95" t="s">
        <v>95</v>
      </c>
      <c r="AR381" s="95" t="s">
        <v>95</v>
      </c>
      <c r="AS381" s="95" t="s">
        <v>96</v>
      </c>
      <c r="AT381" s="93" t="s">
        <v>1408</v>
      </c>
      <c r="AU381" s="93" t="s">
        <v>1409</v>
      </c>
      <c r="AV381" s="93" t="s">
        <v>1410</v>
      </c>
      <c r="AW381" s="93" t="s">
        <v>1411</v>
      </c>
      <c r="AX381" s="95" t="s">
        <v>99</v>
      </c>
      <c r="AY381" s="93" t="str">
        <f t="shared" si="124"/>
        <v>#REF!</v>
      </c>
      <c r="AZ381" s="95">
        <f t="shared" si="125"/>
        <v>46171</v>
      </c>
      <c r="BA381" s="95"/>
    </row>
    <row r="382" ht="30.75" customHeight="1">
      <c r="A382" s="93"/>
      <c r="B382" s="94" t="s">
        <v>82</v>
      </c>
      <c r="C382" s="94" t="s">
        <v>83</v>
      </c>
      <c r="D382" s="94">
        <v>71.0</v>
      </c>
      <c r="E382" s="93" t="s">
        <v>84</v>
      </c>
      <c r="F382" s="93" t="s">
        <v>1412</v>
      </c>
      <c r="G382" s="93" t="s">
        <v>86</v>
      </c>
      <c r="H382" s="93" t="s">
        <v>1413</v>
      </c>
      <c r="I382" s="93" t="s">
        <v>88</v>
      </c>
      <c r="J382" s="93" t="s">
        <v>1414</v>
      </c>
      <c r="K382" s="93" t="s">
        <v>1330</v>
      </c>
      <c r="L382" s="93" t="s">
        <v>1399</v>
      </c>
      <c r="M382" s="93">
        <v>1005390.0</v>
      </c>
      <c r="N382" s="93" t="s">
        <v>1062</v>
      </c>
      <c r="O382" s="93" t="s">
        <v>606</v>
      </c>
      <c r="P382" s="93">
        <v>12.0</v>
      </c>
      <c r="Q382" s="93">
        <v>1.0</v>
      </c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>
        <v>1.0</v>
      </c>
      <c r="AC382" s="93">
        <v>1.0</v>
      </c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>
        <v>0.0</v>
      </c>
      <c r="AQ382" s="95" t="s">
        <v>95</v>
      </c>
      <c r="AR382" s="95" t="s">
        <v>95</v>
      </c>
      <c r="AS382" s="95" t="s">
        <v>96</v>
      </c>
      <c r="AT382" s="93" t="s">
        <v>1415</v>
      </c>
      <c r="AU382" s="93" t="s">
        <v>1416</v>
      </c>
      <c r="AV382" s="93" t="s">
        <v>1417</v>
      </c>
      <c r="AW382" s="93" t="s">
        <v>1418</v>
      </c>
      <c r="AX382" s="95" t="s">
        <v>99</v>
      </c>
      <c r="AY382" s="93" t="str">
        <f t="shared" si="124"/>
        <v>#REF!</v>
      </c>
      <c r="AZ382" s="95">
        <f t="shared" si="125"/>
        <v>46171</v>
      </c>
      <c r="BA382" s="95"/>
    </row>
    <row r="383" ht="30.75" customHeight="1">
      <c r="A383" s="114"/>
      <c r="B383" s="94" t="s">
        <v>82</v>
      </c>
      <c r="C383" s="116" t="s">
        <v>83</v>
      </c>
      <c r="D383" s="114">
        <v>54.0</v>
      </c>
      <c r="E383" s="117" t="s">
        <v>108</v>
      </c>
      <c r="F383" s="114" t="s">
        <v>1419</v>
      </c>
      <c r="G383" s="114" t="s">
        <v>86</v>
      </c>
      <c r="H383" s="114" t="s">
        <v>1420</v>
      </c>
      <c r="I383" s="114" t="s">
        <v>88</v>
      </c>
      <c r="J383" s="114" t="s">
        <v>1421</v>
      </c>
      <c r="K383" s="114" t="s">
        <v>98</v>
      </c>
      <c r="L383" s="114" t="s">
        <v>1422</v>
      </c>
      <c r="M383" s="114" t="s">
        <v>98</v>
      </c>
      <c r="N383" s="114" t="s">
        <v>1312</v>
      </c>
      <c r="O383" s="114" t="s">
        <v>647</v>
      </c>
      <c r="P383" s="117">
        <v>12.0</v>
      </c>
      <c r="Q383" s="117" t="s">
        <v>98</v>
      </c>
      <c r="R383" s="114" t="s">
        <v>98</v>
      </c>
      <c r="S383" s="114" t="s">
        <v>98</v>
      </c>
      <c r="T383" s="114" t="s">
        <v>98</v>
      </c>
      <c r="U383" s="114" t="s">
        <v>98</v>
      </c>
      <c r="V383" s="114" t="s">
        <v>98</v>
      </c>
      <c r="W383" s="114" t="s">
        <v>98</v>
      </c>
      <c r="X383" s="114" t="s">
        <v>98</v>
      </c>
      <c r="Y383" s="114" t="s">
        <v>98</v>
      </c>
      <c r="Z383" s="114" t="s">
        <v>98</v>
      </c>
      <c r="AA383" s="114" t="s">
        <v>98</v>
      </c>
      <c r="AB383" s="114" t="s">
        <v>98</v>
      </c>
      <c r="AC383" s="114" t="s">
        <v>98</v>
      </c>
      <c r="AD383" s="114" t="s">
        <v>98</v>
      </c>
      <c r="AE383" s="114" t="s">
        <v>98</v>
      </c>
      <c r="AF383" s="114" t="s">
        <v>98</v>
      </c>
      <c r="AG383" s="114" t="s">
        <v>98</v>
      </c>
      <c r="AH383" s="114" t="s">
        <v>98</v>
      </c>
      <c r="AI383" s="114" t="s">
        <v>98</v>
      </c>
      <c r="AJ383" s="114" t="s">
        <v>98</v>
      </c>
      <c r="AK383" s="114" t="s">
        <v>98</v>
      </c>
      <c r="AL383" s="114" t="s">
        <v>98</v>
      </c>
      <c r="AM383" s="114" t="s">
        <v>98</v>
      </c>
      <c r="AN383" s="114" t="s">
        <v>98</v>
      </c>
      <c r="AO383" s="114" t="s">
        <v>98</v>
      </c>
      <c r="AP383" s="114" t="str">
        <f t="shared" ref="AP383:AP391" si="128">#REF!</f>
        <v>#REF!</v>
      </c>
      <c r="AQ383" s="118" t="s">
        <v>98</v>
      </c>
      <c r="AR383" s="118" t="s">
        <v>98</v>
      </c>
      <c r="AS383" s="118" t="str">
        <f t="shared" ref="AS383:AS384" si="129">DATE(YEAR(AQ383),MONTH(AQ383)+P383,DAY(AQ383))</f>
        <v>#VALUE!</v>
      </c>
      <c r="AT383" s="118" t="s">
        <v>98</v>
      </c>
      <c r="AU383" s="118" t="s">
        <v>98</v>
      </c>
      <c r="AV383" s="118" t="s">
        <v>98</v>
      </c>
      <c r="AW383" s="118" t="s">
        <v>98</v>
      </c>
      <c r="AX383" s="114" t="s">
        <v>113</v>
      </c>
      <c r="AY383" s="114" t="str">
        <f t="shared" si="124"/>
        <v>#REF!</v>
      </c>
      <c r="AZ383" s="118">
        <f t="shared" si="125"/>
        <v>46171</v>
      </c>
      <c r="BA383" s="118"/>
    </row>
    <row r="384" ht="30.75" customHeight="1">
      <c r="A384" s="114"/>
      <c r="B384" s="94" t="s">
        <v>82</v>
      </c>
      <c r="C384" s="116" t="s">
        <v>83</v>
      </c>
      <c r="D384" s="114">
        <v>55.0</v>
      </c>
      <c r="E384" s="117" t="s">
        <v>108</v>
      </c>
      <c r="F384" s="114" t="s">
        <v>1423</v>
      </c>
      <c r="G384" s="114" t="s">
        <v>86</v>
      </c>
      <c r="H384" s="114" t="s">
        <v>1424</v>
      </c>
      <c r="I384" s="114" t="s">
        <v>88</v>
      </c>
      <c r="J384" s="114" t="s">
        <v>1421</v>
      </c>
      <c r="K384" s="114" t="s">
        <v>1425</v>
      </c>
      <c r="L384" s="114" t="s">
        <v>1426</v>
      </c>
      <c r="M384" s="114">
        <v>4.0300224E7</v>
      </c>
      <c r="N384" s="114" t="s">
        <v>1312</v>
      </c>
      <c r="O384" s="114" t="s">
        <v>647</v>
      </c>
      <c r="P384" s="117">
        <v>12.0</v>
      </c>
      <c r="Q384" s="117" t="s">
        <v>98</v>
      </c>
      <c r="R384" s="114" t="s">
        <v>98</v>
      </c>
      <c r="S384" s="114" t="s">
        <v>98</v>
      </c>
      <c r="T384" s="114" t="s">
        <v>98</v>
      </c>
      <c r="U384" s="114" t="s">
        <v>98</v>
      </c>
      <c r="V384" s="114" t="s">
        <v>98</v>
      </c>
      <c r="W384" s="114" t="s">
        <v>98</v>
      </c>
      <c r="X384" s="114" t="s">
        <v>98</v>
      </c>
      <c r="Y384" s="114" t="s">
        <v>98</v>
      </c>
      <c r="Z384" s="114" t="s">
        <v>98</v>
      </c>
      <c r="AA384" s="114" t="s">
        <v>98</v>
      </c>
      <c r="AB384" s="114" t="s">
        <v>98</v>
      </c>
      <c r="AC384" s="114" t="s">
        <v>98</v>
      </c>
      <c r="AD384" s="114" t="s">
        <v>98</v>
      </c>
      <c r="AE384" s="114" t="s">
        <v>98</v>
      </c>
      <c r="AF384" s="114" t="s">
        <v>98</v>
      </c>
      <c r="AG384" s="114" t="s">
        <v>98</v>
      </c>
      <c r="AH384" s="114" t="s">
        <v>98</v>
      </c>
      <c r="AI384" s="114" t="s">
        <v>98</v>
      </c>
      <c r="AJ384" s="114" t="s">
        <v>98</v>
      </c>
      <c r="AK384" s="114" t="s">
        <v>98</v>
      </c>
      <c r="AL384" s="114" t="s">
        <v>98</v>
      </c>
      <c r="AM384" s="114" t="s">
        <v>98</v>
      </c>
      <c r="AN384" s="114" t="s">
        <v>98</v>
      </c>
      <c r="AO384" s="114" t="s">
        <v>98</v>
      </c>
      <c r="AP384" s="114" t="str">
        <f t="shared" si="128"/>
        <v>#REF!</v>
      </c>
      <c r="AQ384" s="118" t="s">
        <v>98</v>
      </c>
      <c r="AR384" s="118" t="s">
        <v>98</v>
      </c>
      <c r="AS384" s="118" t="str">
        <f t="shared" si="129"/>
        <v>#VALUE!</v>
      </c>
      <c r="AT384" s="118" t="s">
        <v>98</v>
      </c>
      <c r="AU384" s="118" t="s">
        <v>98</v>
      </c>
      <c r="AV384" s="118" t="s">
        <v>98</v>
      </c>
      <c r="AW384" s="118" t="s">
        <v>98</v>
      </c>
      <c r="AX384" s="114" t="s">
        <v>113</v>
      </c>
      <c r="AY384" s="114" t="str">
        <f t="shared" si="124"/>
        <v>#REF!</v>
      </c>
      <c r="AZ384" s="118">
        <f t="shared" si="125"/>
        <v>46171</v>
      </c>
      <c r="BA384" s="118"/>
    </row>
    <row r="385" ht="30.75" customHeight="1">
      <c r="A385" s="93" t="s">
        <v>81</v>
      </c>
      <c r="B385" s="94" t="s">
        <v>82</v>
      </c>
      <c r="C385" s="94" t="s">
        <v>83</v>
      </c>
      <c r="D385" s="93">
        <v>23.0</v>
      </c>
      <c r="E385" s="93" t="s">
        <v>153</v>
      </c>
      <c r="F385" s="93" t="s">
        <v>1427</v>
      </c>
      <c r="G385" s="93" t="s">
        <v>86</v>
      </c>
      <c r="H385" s="93" t="s">
        <v>1428</v>
      </c>
      <c r="I385" s="93" t="s">
        <v>88</v>
      </c>
      <c r="J385" s="93" t="s">
        <v>1429</v>
      </c>
      <c r="K385" s="93" t="s">
        <v>1256</v>
      </c>
      <c r="L385" s="93" t="s">
        <v>1430</v>
      </c>
      <c r="M385" s="93" t="s">
        <v>1431</v>
      </c>
      <c r="N385" s="93" t="s">
        <v>904</v>
      </c>
      <c r="O385" s="93" t="s">
        <v>647</v>
      </c>
      <c r="P385" s="93">
        <v>12.0</v>
      </c>
      <c r="Q385" s="93" t="s">
        <v>98</v>
      </c>
      <c r="R385" s="93" t="s">
        <v>98</v>
      </c>
      <c r="S385" s="93" t="s">
        <v>98</v>
      </c>
      <c r="T385" s="93" t="s">
        <v>98</v>
      </c>
      <c r="U385" s="93" t="s">
        <v>98</v>
      </c>
      <c r="V385" s="93" t="s">
        <v>98</v>
      </c>
      <c r="W385" s="93" t="s">
        <v>98</v>
      </c>
      <c r="X385" s="93" t="s">
        <v>98</v>
      </c>
      <c r="Y385" s="93" t="s">
        <v>98</v>
      </c>
      <c r="Z385" s="93" t="s">
        <v>98</v>
      </c>
      <c r="AA385" s="93" t="s">
        <v>98</v>
      </c>
      <c r="AB385" s="93" t="s">
        <v>98</v>
      </c>
      <c r="AC385" s="93" t="s">
        <v>98</v>
      </c>
      <c r="AD385" s="93" t="s">
        <v>98</v>
      </c>
      <c r="AE385" s="93" t="s">
        <v>98</v>
      </c>
      <c r="AF385" s="93">
        <v>1.0</v>
      </c>
      <c r="AG385" s="93">
        <v>1.0</v>
      </c>
      <c r="AH385" s="93" t="s">
        <v>98</v>
      </c>
      <c r="AI385" s="93" t="s">
        <v>98</v>
      </c>
      <c r="AJ385" s="93" t="s">
        <v>98</v>
      </c>
      <c r="AK385" s="93" t="s">
        <v>98</v>
      </c>
      <c r="AL385" s="93" t="s">
        <v>98</v>
      </c>
      <c r="AM385" s="93" t="s">
        <v>98</v>
      </c>
      <c r="AN385" s="93" t="s">
        <v>98</v>
      </c>
      <c r="AO385" s="93" t="s">
        <v>98</v>
      </c>
      <c r="AP385" s="93" t="str">
        <f t="shared" si="128"/>
        <v>#REF!</v>
      </c>
      <c r="AQ385" s="95">
        <v>244082.0</v>
      </c>
      <c r="AR385" s="95">
        <v>244082.0</v>
      </c>
      <c r="AS385" s="95">
        <v>244447.0</v>
      </c>
      <c r="AT385" s="93" t="s">
        <v>1432</v>
      </c>
      <c r="AU385" s="95" t="s">
        <v>98</v>
      </c>
      <c r="AV385" s="95" t="s">
        <v>98</v>
      </c>
      <c r="AW385" s="95" t="s">
        <v>98</v>
      </c>
      <c r="AX385" s="93" t="s">
        <v>113</v>
      </c>
      <c r="AY385" s="93" t="str">
        <f t="shared" si="124"/>
        <v>#REF!</v>
      </c>
      <c r="AZ385" s="95">
        <f t="shared" si="125"/>
        <v>46171</v>
      </c>
      <c r="BA385" s="95"/>
    </row>
    <row r="386" ht="30.75" customHeight="1">
      <c r="A386" s="93"/>
      <c r="B386" s="94" t="s">
        <v>82</v>
      </c>
      <c r="C386" s="94" t="s">
        <v>83</v>
      </c>
      <c r="D386" s="93">
        <v>13.0</v>
      </c>
      <c r="E386" s="93" t="s">
        <v>497</v>
      </c>
      <c r="F386" s="93"/>
      <c r="G386" s="93" t="s">
        <v>86</v>
      </c>
      <c r="H386" s="113" t="s">
        <v>1272</v>
      </c>
      <c r="I386" s="93" t="s">
        <v>88</v>
      </c>
      <c r="J386" s="93" t="s">
        <v>1433</v>
      </c>
      <c r="K386" s="93" t="s">
        <v>1256</v>
      </c>
      <c r="L386" s="93" t="s">
        <v>1257</v>
      </c>
      <c r="M386" s="93" t="s">
        <v>1273</v>
      </c>
      <c r="N386" s="93" t="s">
        <v>920</v>
      </c>
      <c r="O386" s="93" t="s">
        <v>647</v>
      </c>
      <c r="P386" s="93">
        <v>12.0</v>
      </c>
      <c r="Q386" s="93" t="s">
        <v>98</v>
      </c>
      <c r="R386" s="93" t="s">
        <v>98</v>
      </c>
      <c r="S386" s="93" t="s">
        <v>98</v>
      </c>
      <c r="T386" s="93" t="s">
        <v>98</v>
      </c>
      <c r="U386" s="93" t="s">
        <v>98</v>
      </c>
      <c r="V386" s="93" t="s">
        <v>98</v>
      </c>
      <c r="W386" s="93" t="s">
        <v>98</v>
      </c>
      <c r="X386" s="93" t="s">
        <v>98</v>
      </c>
      <c r="Y386" s="93" t="s">
        <v>98</v>
      </c>
      <c r="Z386" s="93" t="s">
        <v>98</v>
      </c>
      <c r="AA386" s="93" t="s">
        <v>98</v>
      </c>
      <c r="AB386" s="93" t="s">
        <v>98</v>
      </c>
      <c r="AC386" s="93" t="s">
        <v>98</v>
      </c>
      <c r="AD386" s="93" t="s">
        <v>98</v>
      </c>
      <c r="AE386" s="93" t="s">
        <v>98</v>
      </c>
      <c r="AF386" s="93" t="s">
        <v>98</v>
      </c>
      <c r="AG386" s="93" t="s">
        <v>98</v>
      </c>
      <c r="AH386" s="93" t="s">
        <v>98</v>
      </c>
      <c r="AI386" s="93" t="s">
        <v>98</v>
      </c>
      <c r="AJ386" s="93" t="s">
        <v>98</v>
      </c>
      <c r="AK386" s="93" t="s">
        <v>98</v>
      </c>
      <c r="AL386" s="93" t="s">
        <v>98</v>
      </c>
      <c r="AM386" s="93" t="s">
        <v>98</v>
      </c>
      <c r="AN386" s="93" t="s">
        <v>98</v>
      </c>
      <c r="AO386" s="93" t="s">
        <v>98</v>
      </c>
      <c r="AP386" s="93" t="str">
        <f t="shared" si="128"/>
        <v>#REF!</v>
      </c>
      <c r="AQ386" s="95" t="s">
        <v>98</v>
      </c>
      <c r="AR386" s="95" t="s">
        <v>98</v>
      </c>
      <c r="AS386" s="95" t="str">
        <f t="shared" ref="AS386:AS402" si="130">DATE(YEAR(AQ386),MONTH(AQ386)+P386,DAY(AQ386))</f>
        <v>#VALUE!</v>
      </c>
      <c r="AT386" s="95" t="s">
        <v>98</v>
      </c>
      <c r="AU386" s="95" t="s">
        <v>98</v>
      </c>
      <c r="AV386" s="95" t="s">
        <v>98</v>
      </c>
      <c r="AW386" s="95" t="s">
        <v>98</v>
      </c>
      <c r="AX386" s="93" t="s">
        <v>113</v>
      </c>
      <c r="AY386" s="93" t="str">
        <f t="shared" si="124"/>
        <v>#REF!</v>
      </c>
      <c r="AZ386" s="95">
        <f t="shared" si="125"/>
        <v>46171</v>
      </c>
      <c r="BA386" s="95"/>
    </row>
    <row r="387" ht="30.75" customHeight="1">
      <c r="A387" s="93"/>
      <c r="B387" s="94" t="s">
        <v>82</v>
      </c>
      <c r="C387" s="94" t="s">
        <v>83</v>
      </c>
      <c r="D387" s="93">
        <v>14.0</v>
      </c>
      <c r="E387" s="93" t="s">
        <v>497</v>
      </c>
      <c r="F387" s="93"/>
      <c r="G387" s="93" t="s">
        <v>86</v>
      </c>
      <c r="H387" s="113" t="s">
        <v>1272</v>
      </c>
      <c r="I387" s="93" t="s">
        <v>88</v>
      </c>
      <c r="J387" s="93" t="s">
        <v>1433</v>
      </c>
      <c r="K387" s="93" t="s">
        <v>1256</v>
      </c>
      <c r="L387" s="93" t="s">
        <v>1257</v>
      </c>
      <c r="M387" s="93" t="s">
        <v>1273</v>
      </c>
      <c r="N387" s="93" t="s">
        <v>920</v>
      </c>
      <c r="O387" s="93" t="s">
        <v>647</v>
      </c>
      <c r="P387" s="93">
        <v>12.0</v>
      </c>
      <c r="Q387" s="93" t="s">
        <v>98</v>
      </c>
      <c r="R387" s="93" t="s">
        <v>98</v>
      </c>
      <c r="S387" s="93" t="s">
        <v>98</v>
      </c>
      <c r="T387" s="93" t="s">
        <v>98</v>
      </c>
      <c r="U387" s="93" t="s">
        <v>98</v>
      </c>
      <c r="V387" s="93" t="s">
        <v>98</v>
      </c>
      <c r="W387" s="93" t="s">
        <v>98</v>
      </c>
      <c r="X387" s="93" t="s">
        <v>98</v>
      </c>
      <c r="Y387" s="93" t="s">
        <v>98</v>
      </c>
      <c r="Z387" s="93" t="s">
        <v>98</v>
      </c>
      <c r="AA387" s="93" t="s">
        <v>98</v>
      </c>
      <c r="AB387" s="93" t="s">
        <v>98</v>
      </c>
      <c r="AC387" s="93" t="s">
        <v>98</v>
      </c>
      <c r="AD387" s="93" t="s">
        <v>98</v>
      </c>
      <c r="AE387" s="93" t="s">
        <v>98</v>
      </c>
      <c r="AF387" s="93" t="s">
        <v>98</v>
      </c>
      <c r="AG387" s="93" t="s">
        <v>98</v>
      </c>
      <c r="AH387" s="93" t="s">
        <v>98</v>
      </c>
      <c r="AI387" s="93" t="s">
        <v>98</v>
      </c>
      <c r="AJ387" s="93" t="s">
        <v>98</v>
      </c>
      <c r="AK387" s="93" t="s">
        <v>98</v>
      </c>
      <c r="AL387" s="93" t="s">
        <v>98</v>
      </c>
      <c r="AM387" s="93" t="s">
        <v>98</v>
      </c>
      <c r="AN387" s="93" t="s">
        <v>98</v>
      </c>
      <c r="AO387" s="93" t="s">
        <v>98</v>
      </c>
      <c r="AP387" s="93" t="str">
        <f t="shared" si="128"/>
        <v>#REF!</v>
      </c>
      <c r="AQ387" s="95" t="s">
        <v>98</v>
      </c>
      <c r="AR387" s="95" t="s">
        <v>98</v>
      </c>
      <c r="AS387" s="95" t="str">
        <f t="shared" si="130"/>
        <v>#VALUE!</v>
      </c>
      <c r="AT387" s="95" t="s">
        <v>98</v>
      </c>
      <c r="AU387" s="95" t="s">
        <v>98</v>
      </c>
      <c r="AV387" s="95" t="s">
        <v>98</v>
      </c>
      <c r="AW387" s="95" t="s">
        <v>98</v>
      </c>
      <c r="AX387" s="93" t="s">
        <v>113</v>
      </c>
      <c r="AY387" s="93" t="str">
        <f t="shared" si="124"/>
        <v>#REF!</v>
      </c>
      <c r="AZ387" s="95">
        <f t="shared" si="125"/>
        <v>46171</v>
      </c>
      <c r="BA387" s="95"/>
    </row>
    <row r="388" ht="30.75" customHeight="1">
      <c r="A388" s="93"/>
      <c r="B388" s="94" t="s">
        <v>82</v>
      </c>
      <c r="C388" s="94" t="s">
        <v>83</v>
      </c>
      <c r="D388" s="93">
        <v>11.0</v>
      </c>
      <c r="E388" s="93" t="s">
        <v>497</v>
      </c>
      <c r="F388" s="93" t="s">
        <v>1434</v>
      </c>
      <c r="G388" s="93" t="s">
        <v>86</v>
      </c>
      <c r="H388" s="93" t="s">
        <v>1435</v>
      </c>
      <c r="I388" s="93" t="s">
        <v>88</v>
      </c>
      <c r="J388" s="93" t="s">
        <v>1436</v>
      </c>
      <c r="K388" s="93" t="s">
        <v>98</v>
      </c>
      <c r="L388" s="93" t="s">
        <v>358</v>
      </c>
      <c r="M388" s="93" t="s">
        <v>358</v>
      </c>
      <c r="N388" s="93" t="s">
        <v>1312</v>
      </c>
      <c r="O388" s="93" t="s">
        <v>647</v>
      </c>
      <c r="P388" s="93">
        <v>12.0</v>
      </c>
      <c r="Q388" s="93" t="s">
        <v>98</v>
      </c>
      <c r="R388" s="93" t="s">
        <v>98</v>
      </c>
      <c r="S388" s="93" t="s">
        <v>98</v>
      </c>
      <c r="T388" s="93" t="s">
        <v>98</v>
      </c>
      <c r="U388" s="93" t="s">
        <v>98</v>
      </c>
      <c r="V388" s="93" t="s">
        <v>98</v>
      </c>
      <c r="W388" s="93" t="s">
        <v>98</v>
      </c>
      <c r="X388" s="93" t="s">
        <v>98</v>
      </c>
      <c r="Y388" s="93" t="s">
        <v>98</v>
      </c>
      <c r="Z388" s="93" t="s">
        <v>98</v>
      </c>
      <c r="AA388" s="93" t="s">
        <v>98</v>
      </c>
      <c r="AB388" s="93" t="s">
        <v>98</v>
      </c>
      <c r="AC388" s="93" t="s">
        <v>98</v>
      </c>
      <c r="AD388" s="93" t="s">
        <v>98</v>
      </c>
      <c r="AE388" s="93" t="s">
        <v>98</v>
      </c>
      <c r="AF388" s="93" t="s">
        <v>98</v>
      </c>
      <c r="AG388" s="93" t="s">
        <v>98</v>
      </c>
      <c r="AH388" s="93" t="s">
        <v>98</v>
      </c>
      <c r="AI388" s="93" t="s">
        <v>98</v>
      </c>
      <c r="AJ388" s="93" t="s">
        <v>98</v>
      </c>
      <c r="AK388" s="93" t="s">
        <v>98</v>
      </c>
      <c r="AL388" s="93" t="s">
        <v>98</v>
      </c>
      <c r="AM388" s="93" t="s">
        <v>98</v>
      </c>
      <c r="AN388" s="93" t="s">
        <v>98</v>
      </c>
      <c r="AO388" s="93" t="s">
        <v>98</v>
      </c>
      <c r="AP388" s="93" t="str">
        <f t="shared" si="128"/>
        <v>#REF!</v>
      </c>
      <c r="AQ388" s="95" t="s">
        <v>98</v>
      </c>
      <c r="AR388" s="95" t="s">
        <v>98</v>
      </c>
      <c r="AS388" s="95" t="str">
        <f t="shared" si="130"/>
        <v>#VALUE!</v>
      </c>
      <c r="AT388" s="95" t="s">
        <v>98</v>
      </c>
      <c r="AU388" s="95" t="s">
        <v>98</v>
      </c>
      <c r="AV388" s="95" t="s">
        <v>98</v>
      </c>
      <c r="AW388" s="95" t="s">
        <v>98</v>
      </c>
      <c r="AX388" s="93" t="s">
        <v>113</v>
      </c>
      <c r="AY388" s="93" t="str">
        <f t="shared" si="124"/>
        <v>#REF!</v>
      </c>
      <c r="AZ388" s="95">
        <f t="shared" si="125"/>
        <v>46171</v>
      </c>
      <c r="BA388" s="95"/>
    </row>
    <row r="389" ht="30.75" customHeight="1">
      <c r="A389" s="93"/>
      <c r="B389" s="94" t="s">
        <v>82</v>
      </c>
      <c r="C389" s="94" t="s">
        <v>83</v>
      </c>
      <c r="D389" s="93">
        <v>12.0</v>
      </c>
      <c r="E389" s="93" t="s">
        <v>497</v>
      </c>
      <c r="F389" s="93" t="s">
        <v>1434</v>
      </c>
      <c r="G389" s="93" t="s">
        <v>86</v>
      </c>
      <c r="H389" s="93" t="s">
        <v>1435</v>
      </c>
      <c r="I389" s="93" t="s">
        <v>88</v>
      </c>
      <c r="J389" s="93" t="s">
        <v>1436</v>
      </c>
      <c r="K389" s="93" t="s">
        <v>98</v>
      </c>
      <c r="L389" s="93" t="s">
        <v>358</v>
      </c>
      <c r="M389" s="93" t="s">
        <v>358</v>
      </c>
      <c r="N389" s="93" t="s">
        <v>1312</v>
      </c>
      <c r="O389" s="93" t="s">
        <v>647</v>
      </c>
      <c r="P389" s="93">
        <v>12.0</v>
      </c>
      <c r="Q389" s="93" t="s">
        <v>98</v>
      </c>
      <c r="R389" s="93" t="s">
        <v>98</v>
      </c>
      <c r="S389" s="93" t="s">
        <v>98</v>
      </c>
      <c r="T389" s="93" t="s">
        <v>98</v>
      </c>
      <c r="U389" s="93" t="s">
        <v>98</v>
      </c>
      <c r="V389" s="93" t="s">
        <v>98</v>
      </c>
      <c r="W389" s="93" t="s">
        <v>98</v>
      </c>
      <c r="X389" s="93" t="s">
        <v>98</v>
      </c>
      <c r="Y389" s="93" t="s">
        <v>98</v>
      </c>
      <c r="Z389" s="93" t="s">
        <v>98</v>
      </c>
      <c r="AA389" s="93" t="s">
        <v>98</v>
      </c>
      <c r="AB389" s="93" t="s">
        <v>98</v>
      </c>
      <c r="AC389" s="93" t="s">
        <v>98</v>
      </c>
      <c r="AD389" s="93" t="s">
        <v>98</v>
      </c>
      <c r="AE389" s="93" t="s">
        <v>98</v>
      </c>
      <c r="AF389" s="93" t="s">
        <v>98</v>
      </c>
      <c r="AG389" s="93" t="s">
        <v>98</v>
      </c>
      <c r="AH389" s="93" t="s">
        <v>98</v>
      </c>
      <c r="AI389" s="93" t="s">
        <v>98</v>
      </c>
      <c r="AJ389" s="93" t="s">
        <v>98</v>
      </c>
      <c r="AK389" s="93" t="s">
        <v>98</v>
      </c>
      <c r="AL389" s="93" t="s">
        <v>98</v>
      </c>
      <c r="AM389" s="93" t="s">
        <v>98</v>
      </c>
      <c r="AN389" s="93" t="s">
        <v>98</v>
      </c>
      <c r="AO389" s="93" t="s">
        <v>98</v>
      </c>
      <c r="AP389" s="93" t="str">
        <f t="shared" si="128"/>
        <v>#REF!</v>
      </c>
      <c r="AQ389" s="95" t="s">
        <v>98</v>
      </c>
      <c r="AR389" s="95" t="s">
        <v>98</v>
      </c>
      <c r="AS389" s="95" t="str">
        <f t="shared" si="130"/>
        <v>#VALUE!</v>
      </c>
      <c r="AT389" s="95" t="s">
        <v>98</v>
      </c>
      <c r="AU389" s="95" t="s">
        <v>98</v>
      </c>
      <c r="AV389" s="95" t="s">
        <v>98</v>
      </c>
      <c r="AW389" s="95" t="s">
        <v>98</v>
      </c>
      <c r="AX389" s="93" t="s">
        <v>113</v>
      </c>
      <c r="AY389" s="93" t="str">
        <f t="shared" si="124"/>
        <v>#REF!</v>
      </c>
      <c r="AZ389" s="95">
        <f t="shared" si="125"/>
        <v>46171</v>
      </c>
      <c r="BA389" s="95"/>
    </row>
    <row r="390" ht="30.75" customHeight="1">
      <c r="A390" s="93" t="s">
        <v>114</v>
      </c>
      <c r="B390" s="94" t="s">
        <v>82</v>
      </c>
      <c r="C390" s="94" t="s">
        <v>83</v>
      </c>
      <c r="D390" s="93">
        <v>24.0</v>
      </c>
      <c r="E390" s="93" t="s">
        <v>153</v>
      </c>
      <c r="F390" s="93" t="s">
        <v>1437</v>
      </c>
      <c r="G390" s="93" t="s">
        <v>86</v>
      </c>
      <c r="H390" s="93" t="s">
        <v>1438</v>
      </c>
      <c r="I390" s="93" t="s">
        <v>88</v>
      </c>
      <c r="J390" s="93" t="s">
        <v>1439</v>
      </c>
      <c r="K390" s="93" t="s">
        <v>1250</v>
      </c>
      <c r="L390" s="93" t="s">
        <v>98</v>
      </c>
      <c r="M390" s="93" t="s">
        <v>98</v>
      </c>
      <c r="N390" s="93" t="s">
        <v>1312</v>
      </c>
      <c r="O390" s="93" t="s">
        <v>647</v>
      </c>
      <c r="P390" s="93">
        <v>12.0</v>
      </c>
      <c r="Q390" s="93" t="s">
        <v>98</v>
      </c>
      <c r="R390" s="93" t="s">
        <v>98</v>
      </c>
      <c r="S390" s="93" t="s">
        <v>98</v>
      </c>
      <c r="T390" s="93" t="s">
        <v>98</v>
      </c>
      <c r="U390" s="93" t="s">
        <v>98</v>
      </c>
      <c r="V390" s="93" t="s">
        <v>98</v>
      </c>
      <c r="W390" s="93" t="s">
        <v>98</v>
      </c>
      <c r="X390" s="93" t="s">
        <v>98</v>
      </c>
      <c r="Y390" s="93" t="s">
        <v>98</v>
      </c>
      <c r="Z390" s="93" t="s">
        <v>98</v>
      </c>
      <c r="AA390" s="93" t="s">
        <v>98</v>
      </c>
      <c r="AB390" s="93" t="s">
        <v>98</v>
      </c>
      <c r="AC390" s="93" t="s">
        <v>98</v>
      </c>
      <c r="AD390" s="93" t="s">
        <v>98</v>
      </c>
      <c r="AE390" s="93" t="s">
        <v>98</v>
      </c>
      <c r="AF390" s="93" t="s">
        <v>98</v>
      </c>
      <c r="AG390" s="93" t="s">
        <v>98</v>
      </c>
      <c r="AH390" s="93" t="s">
        <v>98</v>
      </c>
      <c r="AI390" s="93" t="s">
        <v>98</v>
      </c>
      <c r="AJ390" s="93" t="s">
        <v>98</v>
      </c>
      <c r="AK390" s="93" t="s">
        <v>98</v>
      </c>
      <c r="AL390" s="93" t="s">
        <v>98</v>
      </c>
      <c r="AM390" s="93" t="s">
        <v>98</v>
      </c>
      <c r="AN390" s="93" t="s">
        <v>98</v>
      </c>
      <c r="AO390" s="93" t="s">
        <v>98</v>
      </c>
      <c r="AP390" s="93" t="str">
        <f t="shared" si="128"/>
        <v>#REF!</v>
      </c>
      <c r="AQ390" s="95" t="s">
        <v>98</v>
      </c>
      <c r="AR390" s="95" t="s">
        <v>98</v>
      </c>
      <c r="AS390" s="95" t="str">
        <f t="shared" si="130"/>
        <v>#VALUE!</v>
      </c>
      <c r="AT390" s="95" t="s">
        <v>98</v>
      </c>
      <c r="AU390" s="95" t="s">
        <v>98</v>
      </c>
      <c r="AV390" s="95" t="s">
        <v>98</v>
      </c>
      <c r="AW390" s="95" t="s">
        <v>98</v>
      </c>
      <c r="AX390" s="93" t="s">
        <v>113</v>
      </c>
      <c r="AY390" s="93" t="str">
        <f t="shared" si="124"/>
        <v>#REF!</v>
      </c>
      <c r="AZ390" s="95">
        <f t="shared" si="125"/>
        <v>46171</v>
      </c>
      <c r="BA390" s="95"/>
    </row>
    <row r="391" ht="30.75" customHeight="1">
      <c r="A391" s="93" t="s">
        <v>81</v>
      </c>
      <c r="B391" s="94" t="s">
        <v>107</v>
      </c>
      <c r="C391" s="94" t="s">
        <v>83</v>
      </c>
      <c r="D391" s="93">
        <v>15.0</v>
      </c>
      <c r="E391" s="93" t="s">
        <v>173</v>
      </c>
      <c r="F391" s="93" t="s">
        <v>1440</v>
      </c>
      <c r="G391" s="93" t="s">
        <v>86</v>
      </c>
      <c r="H391" s="93" t="s">
        <v>1441</v>
      </c>
      <c r="I391" s="93" t="s">
        <v>88</v>
      </c>
      <c r="J391" s="93" t="s">
        <v>1442</v>
      </c>
      <c r="K391" s="93" t="s">
        <v>1443</v>
      </c>
      <c r="L391" s="93" t="s">
        <v>1444</v>
      </c>
      <c r="M391" s="93">
        <v>1201001.0</v>
      </c>
      <c r="N391" s="93" t="s">
        <v>98</v>
      </c>
      <c r="O391" s="93" t="s">
        <v>167</v>
      </c>
      <c r="P391" s="93">
        <v>12.0</v>
      </c>
      <c r="Q391" s="93" t="s">
        <v>98</v>
      </c>
      <c r="R391" s="93" t="s">
        <v>98</v>
      </c>
      <c r="S391" s="93" t="s">
        <v>98</v>
      </c>
      <c r="T391" s="93" t="s">
        <v>98</v>
      </c>
      <c r="U391" s="93" t="s">
        <v>98</v>
      </c>
      <c r="V391" s="93" t="s">
        <v>98</v>
      </c>
      <c r="W391" s="93" t="s">
        <v>98</v>
      </c>
      <c r="X391" s="93" t="s">
        <v>98</v>
      </c>
      <c r="Y391" s="93" t="s">
        <v>98</v>
      </c>
      <c r="Z391" s="93" t="s">
        <v>98</v>
      </c>
      <c r="AA391" s="93" t="s">
        <v>98</v>
      </c>
      <c r="AB391" s="93" t="s">
        <v>98</v>
      </c>
      <c r="AC391" s="93" t="s">
        <v>98</v>
      </c>
      <c r="AD391" s="93" t="s">
        <v>98</v>
      </c>
      <c r="AE391" s="93" t="s">
        <v>98</v>
      </c>
      <c r="AF391" s="93" t="s">
        <v>98</v>
      </c>
      <c r="AG391" s="93" t="s">
        <v>98</v>
      </c>
      <c r="AH391" s="93" t="s">
        <v>98</v>
      </c>
      <c r="AI391" s="93" t="s">
        <v>98</v>
      </c>
      <c r="AJ391" s="93" t="s">
        <v>98</v>
      </c>
      <c r="AK391" s="93" t="s">
        <v>98</v>
      </c>
      <c r="AL391" s="93" t="s">
        <v>98</v>
      </c>
      <c r="AM391" s="93" t="s">
        <v>98</v>
      </c>
      <c r="AN391" s="93" t="s">
        <v>98</v>
      </c>
      <c r="AO391" s="93" t="s">
        <v>98</v>
      </c>
      <c r="AP391" s="93" t="str">
        <f t="shared" si="128"/>
        <v>#REF!</v>
      </c>
      <c r="AQ391" s="95" t="s">
        <v>98</v>
      </c>
      <c r="AR391" s="95" t="s">
        <v>98</v>
      </c>
      <c r="AS391" s="95" t="str">
        <f t="shared" si="130"/>
        <v>#VALUE!</v>
      </c>
      <c r="AT391" s="95" t="s">
        <v>98</v>
      </c>
      <c r="AU391" s="95" t="s">
        <v>98</v>
      </c>
      <c r="AV391" s="95" t="s">
        <v>98</v>
      </c>
      <c r="AW391" s="95" t="s">
        <v>98</v>
      </c>
      <c r="AX391" s="93" t="s">
        <v>113</v>
      </c>
      <c r="AY391" s="93" t="str">
        <f t="shared" si="124"/>
        <v>#REF!</v>
      </c>
      <c r="AZ391" s="95">
        <f t="shared" si="125"/>
        <v>46171</v>
      </c>
      <c r="BA391" s="95"/>
    </row>
    <row r="392" ht="30.75" customHeight="1">
      <c r="A392" s="93"/>
      <c r="B392" s="94" t="s">
        <v>107</v>
      </c>
      <c r="C392" s="94" t="s">
        <v>83</v>
      </c>
      <c r="D392" s="93">
        <v>72.0</v>
      </c>
      <c r="E392" s="93" t="s">
        <v>84</v>
      </c>
      <c r="F392" s="93" t="s">
        <v>98</v>
      </c>
      <c r="G392" s="93" t="s">
        <v>161</v>
      </c>
      <c r="H392" s="93" t="s">
        <v>1445</v>
      </c>
      <c r="I392" s="93" t="s">
        <v>88</v>
      </c>
      <c r="J392" s="93" t="s">
        <v>1446</v>
      </c>
      <c r="K392" s="93" t="s">
        <v>164</v>
      </c>
      <c r="L392" s="93" t="s">
        <v>861</v>
      </c>
      <c r="M392" s="93">
        <v>10655.0</v>
      </c>
      <c r="N392" s="93" t="s">
        <v>1447</v>
      </c>
      <c r="O392" s="93" t="s">
        <v>753</v>
      </c>
      <c r="P392" s="93">
        <v>12.0</v>
      </c>
      <c r="Q392" s="93">
        <v>1.0</v>
      </c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>
        <v>1.0</v>
      </c>
      <c r="AC392" s="93">
        <v>1.0</v>
      </c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5" t="s">
        <v>95</v>
      </c>
      <c r="AR392" s="95" t="s">
        <v>95</v>
      </c>
      <c r="AS392" s="95" t="str">
        <f t="shared" si="130"/>
        <v>#VALUE!</v>
      </c>
      <c r="AT392" s="93" t="s">
        <v>1448</v>
      </c>
      <c r="AU392" s="95" t="s">
        <v>98</v>
      </c>
      <c r="AV392" s="95" t="s">
        <v>98</v>
      </c>
      <c r="AW392" s="95" t="s">
        <v>98</v>
      </c>
      <c r="AX392" s="93" t="s">
        <v>113</v>
      </c>
      <c r="AY392" s="93" t="str">
        <f t="shared" si="124"/>
        <v>#REF!</v>
      </c>
      <c r="AZ392" s="95">
        <f t="shared" si="125"/>
        <v>46171</v>
      </c>
      <c r="BA392" s="95"/>
    </row>
    <row r="393" ht="30.75" customHeight="1">
      <c r="A393" s="93"/>
      <c r="B393" s="94" t="s">
        <v>107</v>
      </c>
      <c r="C393" s="94" t="s">
        <v>83</v>
      </c>
      <c r="D393" s="94">
        <v>73.0</v>
      </c>
      <c r="E393" s="93" t="s">
        <v>84</v>
      </c>
      <c r="F393" s="93" t="s">
        <v>1449</v>
      </c>
      <c r="G393" s="93" t="s">
        <v>161</v>
      </c>
      <c r="H393" s="93" t="s">
        <v>1450</v>
      </c>
      <c r="I393" s="93" t="s">
        <v>88</v>
      </c>
      <c r="J393" s="93" t="s">
        <v>1451</v>
      </c>
      <c r="K393" s="93" t="s">
        <v>98</v>
      </c>
      <c r="L393" s="93" t="s">
        <v>1452</v>
      </c>
      <c r="M393" s="93" t="s">
        <v>98</v>
      </c>
      <c r="N393" s="93" t="s">
        <v>98</v>
      </c>
      <c r="O393" s="93" t="s">
        <v>753</v>
      </c>
      <c r="P393" s="93">
        <v>12.0</v>
      </c>
      <c r="Q393" s="93" t="s">
        <v>98</v>
      </c>
      <c r="R393" s="93" t="s">
        <v>98</v>
      </c>
      <c r="S393" s="93" t="s">
        <v>98</v>
      </c>
      <c r="T393" s="93" t="s">
        <v>98</v>
      </c>
      <c r="U393" s="93" t="s">
        <v>98</v>
      </c>
      <c r="V393" s="93" t="s">
        <v>98</v>
      </c>
      <c r="W393" s="93" t="s">
        <v>98</v>
      </c>
      <c r="X393" s="93" t="s">
        <v>98</v>
      </c>
      <c r="Y393" s="93" t="s">
        <v>98</v>
      </c>
      <c r="Z393" s="93" t="s">
        <v>98</v>
      </c>
      <c r="AA393" s="93" t="s">
        <v>98</v>
      </c>
      <c r="AB393" s="93" t="s">
        <v>98</v>
      </c>
      <c r="AC393" s="93" t="s">
        <v>98</v>
      </c>
      <c r="AD393" s="93" t="s">
        <v>98</v>
      </c>
      <c r="AE393" s="93" t="s">
        <v>98</v>
      </c>
      <c r="AF393" s="93" t="s">
        <v>98</v>
      </c>
      <c r="AG393" s="93" t="s">
        <v>98</v>
      </c>
      <c r="AH393" s="93" t="s">
        <v>98</v>
      </c>
      <c r="AI393" s="93" t="s">
        <v>98</v>
      </c>
      <c r="AJ393" s="93" t="s">
        <v>98</v>
      </c>
      <c r="AK393" s="93" t="s">
        <v>98</v>
      </c>
      <c r="AL393" s="93" t="s">
        <v>98</v>
      </c>
      <c r="AM393" s="93" t="s">
        <v>98</v>
      </c>
      <c r="AN393" s="93" t="s">
        <v>98</v>
      </c>
      <c r="AO393" s="93" t="s">
        <v>98</v>
      </c>
      <c r="AP393" s="93" t="str">
        <f t="shared" ref="AP393:AP398" si="131">#REF!</f>
        <v>#REF!</v>
      </c>
      <c r="AQ393" s="95" t="s">
        <v>98</v>
      </c>
      <c r="AR393" s="95" t="s">
        <v>98</v>
      </c>
      <c r="AS393" s="95" t="str">
        <f t="shared" si="130"/>
        <v>#VALUE!</v>
      </c>
      <c r="AT393" s="95" t="s">
        <v>98</v>
      </c>
      <c r="AU393" s="95" t="s">
        <v>98</v>
      </c>
      <c r="AV393" s="95" t="s">
        <v>98</v>
      </c>
      <c r="AW393" s="95" t="s">
        <v>98</v>
      </c>
      <c r="AX393" s="93" t="s">
        <v>113</v>
      </c>
      <c r="AY393" s="93" t="str">
        <f t="shared" si="124"/>
        <v>#REF!</v>
      </c>
      <c r="AZ393" s="95">
        <f t="shared" si="125"/>
        <v>46171</v>
      </c>
      <c r="BA393" s="95"/>
    </row>
    <row r="394" ht="30.75" customHeight="1">
      <c r="A394" s="93"/>
      <c r="B394" s="94" t="s">
        <v>107</v>
      </c>
      <c r="C394" s="94" t="s">
        <v>83</v>
      </c>
      <c r="D394" s="93">
        <v>74.0</v>
      </c>
      <c r="E394" s="93" t="s">
        <v>84</v>
      </c>
      <c r="F394" s="93" t="s">
        <v>1453</v>
      </c>
      <c r="G394" s="93" t="s">
        <v>161</v>
      </c>
      <c r="H394" s="93" t="s">
        <v>1454</v>
      </c>
      <c r="I394" s="93" t="s">
        <v>88</v>
      </c>
      <c r="J394" s="93" t="s">
        <v>1451</v>
      </c>
      <c r="K394" s="93" t="s">
        <v>98</v>
      </c>
      <c r="L394" s="93" t="s">
        <v>1452</v>
      </c>
      <c r="M394" s="93" t="s">
        <v>98</v>
      </c>
      <c r="N394" s="93" t="s">
        <v>98</v>
      </c>
      <c r="O394" s="93" t="s">
        <v>753</v>
      </c>
      <c r="P394" s="93">
        <v>12.0</v>
      </c>
      <c r="Q394" s="93" t="s">
        <v>98</v>
      </c>
      <c r="R394" s="93" t="s">
        <v>98</v>
      </c>
      <c r="S394" s="93" t="s">
        <v>98</v>
      </c>
      <c r="T394" s="93" t="s">
        <v>98</v>
      </c>
      <c r="U394" s="93" t="s">
        <v>98</v>
      </c>
      <c r="V394" s="93" t="s">
        <v>98</v>
      </c>
      <c r="W394" s="93" t="s">
        <v>98</v>
      </c>
      <c r="X394" s="93" t="s">
        <v>98</v>
      </c>
      <c r="Y394" s="93" t="s">
        <v>98</v>
      </c>
      <c r="Z394" s="93" t="s">
        <v>98</v>
      </c>
      <c r="AA394" s="93" t="s">
        <v>98</v>
      </c>
      <c r="AB394" s="93" t="s">
        <v>98</v>
      </c>
      <c r="AC394" s="93" t="s">
        <v>98</v>
      </c>
      <c r="AD394" s="93" t="s">
        <v>98</v>
      </c>
      <c r="AE394" s="93" t="s">
        <v>98</v>
      </c>
      <c r="AF394" s="93" t="s">
        <v>98</v>
      </c>
      <c r="AG394" s="93" t="s">
        <v>98</v>
      </c>
      <c r="AH394" s="93" t="s">
        <v>98</v>
      </c>
      <c r="AI394" s="93" t="s">
        <v>98</v>
      </c>
      <c r="AJ394" s="93" t="s">
        <v>98</v>
      </c>
      <c r="AK394" s="93" t="s">
        <v>98</v>
      </c>
      <c r="AL394" s="93" t="s">
        <v>98</v>
      </c>
      <c r="AM394" s="93" t="s">
        <v>98</v>
      </c>
      <c r="AN394" s="93" t="s">
        <v>98</v>
      </c>
      <c r="AO394" s="93" t="s">
        <v>98</v>
      </c>
      <c r="AP394" s="93" t="str">
        <f t="shared" si="131"/>
        <v>#REF!</v>
      </c>
      <c r="AQ394" s="95" t="s">
        <v>98</v>
      </c>
      <c r="AR394" s="95" t="s">
        <v>98</v>
      </c>
      <c r="AS394" s="95" t="str">
        <f t="shared" si="130"/>
        <v>#VALUE!</v>
      </c>
      <c r="AT394" s="95" t="s">
        <v>98</v>
      </c>
      <c r="AU394" s="95" t="s">
        <v>98</v>
      </c>
      <c r="AV394" s="95" t="s">
        <v>98</v>
      </c>
      <c r="AW394" s="95" t="s">
        <v>98</v>
      </c>
      <c r="AX394" s="93" t="s">
        <v>113</v>
      </c>
      <c r="AY394" s="93" t="str">
        <f t="shared" si="124"/>
        <v>#REF!</v>
      </c>
      <c r="AZ394" s="95">
        <f t="shared" si="125"/>
        <v>46171</v>
      </c>
      <c r="BA394" s="95"/>
    </row>
    <row r="395" ht="30.75" customHeight="1">
      <c r="A395" s="93"/>
      <c r="B395" s="94" t="s">
        <v>107</v>
      </c>
      <c r="C395" s="94" t="s">
        <v>83</v>
      </c>
      <c r="D395" s="94">
        <v>75.0</v>
      </c>
      <c r="E395" s="93" t="s">
        <v>84</v>
      </c>
      <c r="F395" s="93" t="s">
        <v>98</v>
      </c>
      <c r="G395" s="93" t="s">
        <v>161</v>
      </c>
      <c r="H395" s="93" t="s">
        <v>1455</v>
      </c>
      <c r="I395" s="93" t="s">
        <v>88</v>
      </c>
      <c r="J395" s="93" t="s">
        <v>1456</v>
      </c>
      <c r="K395" s="93" t="s">
        <v>551</v>
      </c>
      <c r="L395" s="93" t="s">
        <v>861</v>
      </c>
      <c r="M395" s="93">
        <v>10656.0</v>
      </c>
      <c r="N395" s="93" t="s">
        <v>339</v>
      </c>
      <c r="O395" s="93" t="s">
        <v>753</v>
      </c>
      <c r="P395" s="93">
        <v>12.0</v>
      </c>
      <c r="Q395" s="93" t="s">
        <v>98</v>
      </c>
      <c r="R395" s="93" t="s">
        <v>98</v>
      </c>
      <c r="S395" s="93" t="s">
        <v>98</v>
      </c>
      <c r="T395" s="93" t="s">
        <v>98</v>
      </c>
      <c r="U395" s="93" t="s">
        <v>98</v>
      </c>
      <c r="V395" s="93" t="s">
        <v>98</v>
      </c>
      <c r="W395" s="93" t="s">
        <v>98</v>
      </c>
      <c r="X395" s="93" t="s">
        <v>98</v>
      </c>
      <c r="Y395" s="93" t="s">
        <v>98</v>
      </c>
      <c r="Z395" s="93" t="s">
        <v>98</v>
      </c>
      <c r="AA395" s="93" t="s">
        <v>98</v>
      </c>
      <c r="AB395" s="93" t="s">
        <v>98</v>
      </c>
      <c r="AC395" s="93" t="s">
        <v>98</v>
      </c>
      <c r="AD395" s="93" t="s">
        <v>98</v>
      </c>
      <c r="AE395" s="93" t="s">
        <v>98</v>
      </c>
      <c r="AF395" s="93" t="s">
        <v>98</v>
      </c>
      <c r="AG395" s="93" t="s">
        <v>98</v>
      </c>
      <c r="AH395" s="93" t="s">
        <v>98</v>
      </c>
      <c r="AI395" s="93" t="s">
        <v>98</v>
      </c>
      <c r="AJ395" s="93" t="s">
        <v>98</v>
      </c>
      <c r="AK395" s="93" t="s">
        <v>98</v>
      </c>
      <c r="AL395" s="93" t="s">
        <v>98</v>
      </c>
      <c r="AM395" s="93" t="s">
        <v>98</v>
      </c>
      <c r="AN395" s="93" t="s">
        <v>98</v>
      </c>
      <c r="AO395" s="93" t="s">
        <v>98</v>
      </c>
      <c r="AP395" s="93" t="str">
        <f t="shared" si="131"/>
        <v>#REF!</v>
      </c>
      <c r="AQ395" s="95" t="s">
        <v>98</v>
      </c>
      <c r="AR395" s="95" t="s">
        <v>98</v>
      </c>
      <c r="AS395" s="95" t="str">
        <f t="shared" si="130"/>
        <v>#VALUE!</v>
      </c>
      <c r="AT395" s="95" t="s">
        <v>98</v>
      </c>
      <c r="AU395" s="95" t="s">
        <v>98</v>
      </c>
      <c r="AV395" s="95" t="s">
        <v>98</v>
      </c>
      <c r="AW395" s="95" t="s">
        <v>98</v>
      </c>
      <c r="AX395" s="93" t="s">
        <v>113</v>
      </c>
      <c r="AY395" s="93" t="str">
        <f t="shared" si="124"/>
        <v>#REF!</v>
      </c>
      <c r="AZ395" s="95">
        <f t="shared" si="125"/>
        <v>46171</v>
      </c>
      <c r="BA395" s="95"/>
    </row>
    <row r="396" ht="30.75" customHeight="1">
      <c r="A396" s="93"/>
      <c r="B396" s="94" t="s">
        <v>107</v>
      </c>
      <c r="C396" s="94" t="s">
        <v>83</v>
      </c>
      <c r="D396" s="94">
        <v>79.0</v>
      </c>
      <c r="E396" s="93" t="s">
        <v>84</v>
      </c>
      <c r="F396" s="93" t="s">
        <v>1457</v>
      </c>
      <c r="G396" s="93" t="s">
        <v>161</v>
      </c>
      <c r="H396" s="93" t="s">
        <v>1458</v>
      </c>
      <c r="I396" s="93" t="s">
        <v>88</v>
      </c>
      <c r="J396" s="93" t="s">
        <v>1456</v>
      </c>
      <c r="K396" s="93" t="s">
        <v>551</v>
      </c>
      <c r="L396" s="93" t="s">
        <v>861</v>
      </c>
      <c r="M396" s="93">
        <v>702289.0</v>
      </c>
      <c r="N396" s="93" t="s">
        <v>339</v>
      </c>
      <c r="O396" s="93" t="s">
        <v>753</v>
      </c>
      <c r="P396" s="93">
        <v>12.0</v>
      </c>
      <c r="Q396" s="93" t="s">
        <v>98</v>
      </c>
      <c r="R396" s="93" t="s">
        <v>98</v>
      </c>
      <c r="S396" s="93" t="s">
        <v>98</v>
      </c>
      <c r="T396" s="93" t="s">
        <v>98</v>
      </c>
      <c r="U396" s="93" t="s">
        <v>98</v>
      </c>
      <c r="V396" s="93" t="s">
        <v>98</v>
      </c>
      <c r="W396" s="93" t="s">
        <v>98</v>
      </c>
      <c r="X396" s="93" t="s">
        <v>98</v>
      </c>
      <c r="Y396" s="93" t="s">
        <v>98</v>
      </c>
      <c r="Z396" s="93" t="s">
        <v>98</v>
      </c>
      <c r="AA396" s="93" t="s">
        <v>98</v>
      </c>
      <c r="AB396" s="93" t="s">
        <v>98</v>
      </c>
      <c r="AC396" s="93" t="s">
        <v>98</v>
      </c>
      <c r="AD396" s="93" t="s">
        <v>98</v>
      </c>
      <c r="AE396" s="93" t="s">
        <v>98</v>
      </c>
      <c r="AF396" s="93" t="s">
        <v>98</v>
      </c>
      <c r="AG396" s="93" t="s">
        <v>98</v>
      </c>
      <c r="AH396" s="93" t="s">
        <v>98</v>
      </c>
      <c r="AI396" s="93" t="s">
        <v>98</v>
      </c>
      <c r="AJ396" s="93" t="s">
        <v>98</v>
      </c>
      <c r="AK396" s="93" t="s">
        <v>98</v>
      </c>
      <c r="AL396" s="93" t="s">
        <v>98</v>
      </c>
      <c r="AM396" s="93" t="s">
        <v>98</v>
      </c>
      <c r="AN396" s="93" t="s">
        <v>98</v>
      </c>
      <c r="AO396" s="93" t="s">
        <v>98</v>
      </c>
      <c r="AP396" s="93" t="str">
        <f t="shared" si="131"/>
        <v>#REF!</v>
      </c>
      <c r="AQ396" s="95" t="s">
        <v>98</v>
      </c>
      <c r="AR396" s="95" t="s">
        <v>98</v>
      </c>
      <c r="AS396" s="95" t="str">
        <f t="shared" si="130"/>
        <v>#VALUE!</v>
      </c>
      <c r="AT396" s="95" t="s">
        <v>98</v>
      </c>
      <c r="AU396" s="95" t="s">
        <v>98</v>
      </c>
      <c r="AV396" s="95" t="s">
        <v>98</v>
      </c>
      <c r="AW396" s="95" t="s">
        <v>98</v>
      </c>
      <c r="AX396" s="93" t="s">
        <v>113</v>
      </c>
      <c r="AY396" s="93" t="str">
        <f t="shared" si="124"/>
        <v>#REF!</v>
      </c>
      <c r="AZ396" s="95">
        <f t="shared" si="125"/>
        <v>46171</v>
      </c>
      <c r="BA396" s="95"/>
    </row>
    <row r="397" ht="30.75" customHeight="1">
      <c r="A397" s="93"/>
      <c r="B397" s="94" t="s">
        <v>107</v>
      </c>
      <c r="C397" s="94" t="s">
        <v>83</v>
      </c>
      <c r="D397" s="93">
        <v>76.0</v>
      </c>
      <c r="E397" s="93" t="s">
        <v>84</v>
      </c>
      <c r="F397" s="93" t="s">
        <v>1459</v>
      </c>
      <c r="G397" s="93" t="s">
        <v>161</v>
      </c>
      <c r="H397" s="93" t="s">
        <v>1460</v>
      </c>
      <c r="I397" s="93" t="s">
        <v>88</v>
      </c>
      <c r="J397" s="93" t="s">
        <v>1456</v>
      </c>
      <c r="K397" s="93" t="s">
        <v>551</v>
      </c>
      <c r="L397" s="93" t="s">
        <v>861</v>
      </c>
      <c r="M397" s="93">
        <v>905267.0</v>
      </c>
      <c r="N397" s="93" t="s">
        <v>339</v>
      </c>
      <c r="O397" s="93" t="s">
        <v>753</v>
      </c>
      <c r="P397" s="93">
        <v>12.0</v>
      </c>
      <c r="Q397" s="93" t="s">
        <v>98</v>
      </c>
      <c r="R397" s="93" t="s">
        <v>98</v>
      </c>
      <c r="S397" s="93" t="s">
        <v>98</v>
      </c>
      <c r="T397" s="93" t="s">
        <v>98</v>
      </c>
      <c r="U397" s="93" t="s">
        <v>98</v>
      </c>
      <c r="V397" s="93" t="s">
        <v>98</v>
      </c>
      <c r="W397" s="93" t="s">
        <v>98</v>
      </c>
      <c r="X397" s="93" t="s">
        <v>98</v>
      </c>
      <c r="Y397" s="93" t="s">
        <v>98</v>
      </c>
      <c r="Z397" s="93" t="s">
        <v>98</v>
      </c>
      <c r="AA397" s="93" t="s">
        <v>98</v>
      </c>
      <c r="AB397" s="93" t="s">
        <v>98</v>
      </c>
      <c r="AC397" s="93" t="s">
        <v>98</v>
      </c>
      <c r="AD397" s="93" t="s">
        <v>98</v>
      </c>
      <c r="AE397" s="93" t="s">
        <v>98</v>
      </c>
      <c r="AF397" s="93" t="s">
        <v>98</v>
      </c>
      <c r="AG397" s="93" t="s">
        <v>98</v>
      </c>
      <c r="AH397" s="93" t="s">
        <v>98</v>
      </c>
      <c r="AI397" s="93" t="s">
        <v>98</v>
      </c>
      <c r="AJ397" s="93" t="s">
        <v>98</v>
      </c>
      <c r="AK397" s="93" t="s">
        <v>98</v>
      </c>
      <c r="AL397" s="93" t="s">
        <v>98</v>
      </c>
      <c r="AM397" s="93" t="s">
        <v>98</v>
      </c>
      <c r="AN397" s="93" t="s">
        <v>98</v>
      </c>
      <c r="AO397" s="93" t="s">
        <v>98</v>
      </c>
      <c r="AP397" s="93" t="str">
        <f t="shared" si="131"/>
        <v>#REF!</v>
      </c>
      <c r="AQ397" s="95" t="s">
        <v>98</v>
      </c>
      <c r="AR397" s="95" t="s">
        <v>98</v>
      </c>
      <c r="AS397" s="95" t="str">
        <f t="shared" si="130"/>
        <v>#VALUE!</v>
      </c>
      <c r="AT397" s="95" t="s">
        <v>98</v>
      </c>
      <c r="AU397" s="95" t="s">
        <v>98</v>
      </c>
      <c r="AV397" s="95" t="s">
        <v>98</v>
      </c>
      <c r="AW397" s="95" t="s">
        <v>98</v>
      </c>
      <c r="AX397" s="93" t="s">
        <v>113</v>
      </c>
      <c r="AY397" s="93" t="str">
        <f t="shared" si="124"/>
        <v>#REF!</v>
      </c>
      <c r="AZ397" s="95">
        <f t="shared" si="125"/>
        <v>46171</v>
      </c>
      <c r="BA397" s="95"/>
    </row>
    <row r="398" ht="30.75" customHeight="1">
      <c r="A398" s="93"/>
      <c r="B398" s="94" t="s">
        <v>107</v>
      </c>
      <c r="C398" s="94" t="s">
        <v>83</v>
      </c>
      <c r="D398" s="93">
        <v>78.0</v>
      </c>
      <c r="E398" s="93" t="s">
        <v>84</v>
      </c>
      <c r="F398" s="93" t="s">
        <v>1461</v>
      </c>
      <c r="G398" s="93" t="s">
        <v>161</v>
      </c>
      <c r="H398" s="93" t="s">
        <v>1462</v>
      </c>
      <c r="I398" s="93" t="s">
        <v>88</v>
      </c>
      <c r="J398" s="93" t="s">
        <v>1456</v>
      </c>
      <c r="K398" s="93" t="s">
        <v>551</v>
      </c>
      <c r="L398" s="93" t="s">
        <v>1463</v>
      </c>
      <c r="M398" s="93">
        <v>920531.0</v>
      </c>
      <c r="N398" s="93" t="s">
        <v>339</v>
      </c>
      <c r="O398" s="93" t="s">
        <v>753</v>
      </c>
      <c r="P398" s="93">
        <v>12.0</v>
      </c>
      <c r="Q398" s="93" t="s">
        <v>98</v>
      </c>
      <c r="R398" s="93" t="s">
        <v>98</v>
      </c>
      <c r="S398" s="93" t="s">
        <v>98</v>
      </c>
      <c r="T398" s="93" t="s">
        <v>98</v>
      </c>
      <c r="U398" s="93" t="s">
        <v>98</v>
      </c>
      <c r="V398" s="93" t="s">
        <v>98</v>
      </c>
      <c r="W398" s="93" t="s">
        <v>98</v>
      </c>
      <c r="X398" s="93" t="s">
        <v>98</v>
      </c>
      <c r="Y398" s="93" t="s">
        <v>98</v>
      </c>
      <c r="Z398" s="93" t="s">
        <v>98</v>
      </c>
      <c r="AA398" s="93" t="s">
        <v>98</v>
      </c>
      <c r="AB398" s="93" t="s">
        <v>98</v>
      </c>
      <c r="AC398" s="93" t="s">
        <v>98</v>
      </c>
      <c r="AD398" s="93" t="s">
        <v>98</v>
      </c>
      <c r="AE398" s="93" t="s">
        <v>98</v>
      </c>
      <c r="AF398" s="93" t="s">
        <v>98</v>
      </c>
      <c r="AG398" s="93" t="s">
        <v>98</v>
      </c>
      <c r="AH398" s="93" t="s">
        <v>98</v>
      </c>
      <c r="AI398" s="93" t="s">
        <v>98</v>
      </c>
      <c r="AJ398" s="93" t="s">
        <v>98</v>
      </c>
      <c r="AK398" s="93" t="s">
        <v>98</v>
      </c>
      <c r="AL398" s="93" t="s">
        <v>98</v>
      </c>
      <c r="AM398" s="93" t="s">
        <v>98</v>
      </c>
      <c r="AN398" s="93" t="s">
        <v>98</v>
      </c>
      <c r="AO398" s="93" t="s">
        <v>98</v>
      </c>
      <c r="AP398" s="93" t="str">
        <f t="shared" si="131"/>
        <v>#REF!</v>
      </c>
      <c r="AQ398" s="95" t="s">
        <v>98</v>
      </c>
      <c r="AR398" s="95" t="s">
        <v>98</v>
      </c>
      <c r="AS398" s="95" t="str">
        <f t="shared" si="130"/>
        <v>#VALUE!</v>
      </c>
      <c r="AT398" s="95" t="s">
        <v>98</v>
      </c>
      <c r="AU398" s="95" t="s">
        <v>98</v>
      </c>
      <c r="AV398" s="95" t="s">
        <v>98</v>
      </c>
      <c r="AW398" s="95" t="s">
        <v>98</v>
      </c>
      <c r="AX398" s="93" t="s">
        <v>113</v>
      </c>
      <c r="AY398" s="93" t="str">
        <f t="shared" si="124"/>
        <v>#REF!</v>
      </c>
      <c r="AZ398" s="95">
        <f t="shared" si="125"/>
        <v>46171</v>
      </c>
      <c r="BA398" s="95"/>
    </row>
    <row r="399" ht="30.75" customHeight="1">
      <c r="A399" s="93"/>
      <c r="B399" s="94" t="s">
        <v>107</v>
      </c>
      <c r="C399" s="94" t="s">
        <v>83</v>
      </c>
      <c r="D399" s="94">
        <v>77.0</v>
      </c>
      <c r="E399" s="93" t="s">
        <v>84</v>
      </c>
      <c r="F399" s="93" t="s">
        <v>1464</v>
      </c>
      <c r="G399" s="93" t="s">
        <v>161</v>
      </c>
      <c r="H399" s="93" t="s">
        <v>1465</v>
      </c>
      <c r="I399" s="93" t="s">
        <v>88</v>
      </c>
      <c r="J399" s="93" t="s">
        <v>1456</v>
      </c>
      <c r="K399" s="93" t="s">
        <v>551</v>
      </c>
      <c r="L399" s="93" t="s">
        <v>1463</v>
      </c>
      <c r="M399" s="93">
        <v>9714142.0</v>
      </c>
      <c r="N399" s="93" t="s">
        <v>339</v>
      </c>
      <c r="O399" s="93" t="s">
        <v>753</v>
      </c>
      <c r="P399" s="93">
        <v>12.0</v>
      </c>
      <c r="Q399" s="93">
        <v>1.0</v>
      </c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>
        <v>1.0</v>
      </c>
      <c r="AC399" s="93">
        <v>1.0</v>
      </c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5" t="s">
        <v>95</v>
      </c>
      <c r="AR399" s="95" t="s">
        <v>95</v>
      </c>
      <c r="AS399" s="95" t="str">
        <f t="shared" si="130"/>
        <v>#VALUE!</v>
      </c>
      <c r="AT399" s="93" t="s">
        <v>1466</v>
      </c>
      <c r="AU399" s="95" t="s">
        <v>98</v>
      </c>
      <c r="AV399" s="95" t="s">
        <v>98</v>
      </c>
      <c r="AW399" s="95" t="s">
        <v>98</v>
      </c>
      <c r="AX399" s="93" t="s">
        <v>113</v>
      </c>
      <c r="AY399" s="93" t="str">
        <f t="shared" si="124"/>
        <v>#REF!</v>
      </c>
      <c r="AZ399" s="95">
        <f t="shared" si="125"/>
        <v>46171</v>
      </c>
      <c r="BA399" s="95"/>
    </row>
    <row r="400" ht="30.75" customHeight="1">
      <c r="A400" s="93"/>
      <c r="B400" s="94" t="s">
        <v>107</v>
      </c>
      <c r="C400" s="94" t="s">
        <v>83</v>
      </c>
      <c r="D400" s="93">
        <v>26.0</v>
      </c>
      <c r="E400" s="93" t="s">
        <v>153</v>
      </c>
      <c r="F400" s="93" t="s">
        <v>1467</v>
      </c>
      <c r="G400" s="93" t="s">
        <v>86</v>
      </c>
      <c r="H400" s="93" t="s">
        <v>1468</v>
      </c>
      <c r="I400" s="93" t="s">
        <v>88</v>
      </c>
      <c r="J400" s="93" t="s">
        <v>1469</v>
      </c>
      <c r="K400" s="93" t="s">
        <v>860</v>
      </c>
      <c r="L400" s="93" t="s">
        <v>861</v>
      </c>
      <c r="M400" s="93">
        <v>307691.0</v>
      </c>
      <c r="N400" s="93" t="s">
        <v>862</v>
      </c>
      <c r="O400" s="93" t="s">
        <v>94</v>
      </c>
      <c r="P400" s="93">
        <v>12.0</v>
      </c>
      <c r="Q400" s="93">
        <v>1.0</v>
      </c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>
        <v>1.0</v>
      </c>
      <c r="AD400" s="93">
        <v>1.0</v>
      </c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 t="str">
        <f t="shared" ref="AP400:AP402" si="132">#REF!</f>
        <v>#REF!</v>
      </c>
      <c r="AQ400" s="95" t="s">
        <v>95</v>
      </c>
      <c r="AR400" s="95" t="s">
        <v>95</v>
      </c>
      <c r="AS400" s="95" t="str">
        <f t="shared" si="130"/>
        <v>#VALUE!</v>
      </c>
      <c r="AT400" s="93" t="s">
        <v>1470</v>
      </c>
      <c r="AU400" s="93"/>
      <c r="AV400" s="93"/>
      <c r="AW400" s="93"/>
      <c r="AX400" s="93" t="s">
        <v>99</v>
      </c>
      <c r="AY400" s="93" t="str">
        <f t="shared" si="124"/>
        <v>#REF!</v>
      </c>
      <c r="AZ400" s="95">
        <f t="shared" si="125"/>
        <v>46171</v>
      </c>
      <c r="BA400" s="95"/>
    </row>
    <row r="401" ht="30.75" customHeight="1">
      <c r="A401" s="93"/>
      <c r="B401" s="94" t="s">
        <v>107</v>
      </c>
      <c r="C401" s="94" t="s">
        <v>83</v>
      </c>
      <c r="D401" s="93">
        <v>27.0</v>
      </c>
      <c r="E401" s="93" t="s">
        <v>153</v>
      </c>
      <c r="F401" s="93" t="s">
        <v>1471</v>
      </c>
      <c r="G401" s="93" t="s">
        <v>86</v>
      </c>
      <c r="H401" s="93" t="s">
        <v>1472</v>
      </c>
      <c r="I401" s="93" t="s">
        <v>88</v>
      </c>
      <c r="J401" s="93" t="s">
        <v>1469</v>
      </c>
      <c r="K401" s="93" t="s">
        <v>860</v>
      </c>
      <c r="L401" s="93" t="s">
        <v>861</v>
      </c>
      <c r="M401" s="93">
        <v>702005.0</v>
      </c>
      <c r="N401" s="93" t="s">
        <v>862</v>
      </c>
      <c r="O401" s="93" t="s">
        <v>94</v>
      </c>
      <c r="P401" s="93">
        <v>12.0</v>
      </c>
      <c r="Q401" s="93">
        <v>1.0</v>
      </c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>
        <v>1.0</v>
      </c>
      <c r="AD401" s="93">
        <v>1.0</v>
      </c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 t="str">
        <f t="shared" si="132"/>
        <v>#REF!</v>
      </c>
      <c r="AQ401" s="95" t="s">
        <v>95</v>
      </c>
      <c r="AR401" s="95" t="s">
        <v>95</v>
      </c>
      <c r="AS401" s="95" t="str">
        <f t="shared" si="130"/>
        <v>#VALUE!</v>
      </c>
      <c r="AT401" s="93" t="s">
        <v>1473</v>
      </c>
      <c r="AU401" s="93"/>
      <c r="AV401" s="93"/>
      <c r="AW401" s="93"/>
      <c r="AX401" s="93" t="s">
        <v>99</v>
      </c>
      <c r="AY401" s="93" t="str">
        <f t="shared" si="124"/>
        <v>#REF!</v>
      </c>
      <c r="AZ401" s="95">
        <f t="shared" si="125"/>
        <v>46171</v>
      </c>
      <c r="BA401" s="95"/>
    </row>
    <row r="402" ht="30.75" customHeight="1">
      <c r="A402" s="93"/>
      <c r="B402" s="94" t="s">
        <v>107</v>
      </c>
      <c r="C402" s="110" t="s">
        <v>83</v>
      </c>
      <c r="D402" s="93">
        <v>56.0</v>
      </c>
      <c r="E402" s="111" t="s">
        <v>108</v>
      </c>
      <c r="F402" s="93" t="s">
        <v>98</v>
      </c>
      <c r="G402" s="93"/>
      <c r="H402" s="93"/>
      <c r="I402" s="93" t="s">
        <v>88</v>
      </c>
      <c r="J402" s="93" t="s">
        <v>1474</v>
      </c>
      <c r="K402" s="93" t="s">
        <v>1475</v>
      </c>
      <c r="L402" s="93" t="s">
        <v>1476</v>
      </c>
      <c r="M402" s="93"/>
      <c r="N402" s="93" t="s">
        <v>98</v>
      </c>
      <c r="O402" s="93" t="s">
        <v>753</v>
      </c>
      <c r="P402" s="111" t="s">
        <v>98</v>
      </c>
      <c r="Q402" s="111" t="s">
        <v>98</v>
      </c>
      <c r="R402" s="93" t="s">
        <v>98</v>
      </c>
      <c r="S402" s="93" t="s">
        <v>98</v>
      </c>
      <c r="T402" s="93" t="s">
        <v>98</v>
      </c>
      <c r="U402" s="93" t="s">
        <v>98</v>
      </c>
      <c r="V402" s="93" t="s">
        <v>98</v>
      </c>
      <c r="W402" s="93" t="s">
        <v>98</v>
      </c>
      <c r="X402" s="93" t="s">
        <v>98</v>
      </c>
      <c r="Y402" s="93" t="s">
        <v>98</v>
      </c>
      <c r="Z402" s="93" t="s">
        <v>98</v>
      </c>
      <c r="AA402" s="93" t="s">
        <v>98</v>
      </c>
      <c r="AB402" s="93" t="s">
        <v>98</v>
      </c>
      <c r="AC402" s="93" t="s">
        <v>98</v>
      </c>
      <c r="AD402" s="93" t="s">
        <v>98</v>
      </c>
      <c r="AE402" s="93" t="s">
        <v>98</v>
      </c>
      <c r="AF402" s="93" t="s">
        <v>98</v>
      </c>
      <c r="AG402" s="93" t="s">
        <v>98</v>
      </c>
      <c r="AH402" s="93" t="s">
        <v>98</v>
      </c>
      <c r="AI402" s="93" t="s">
        <v>98</v>
      </c>
      <c r="AJ402" s="93" t="s">
        <v>98</v>
      </c>
      <c r="AK402" s="93" t="s">
        <v>98</v>
      </c>
      <c r="AL402" s="93" t="s">
        <v>98</v>
      </c>
      <c r="AM402" s="93" t="s">
        <v>98</v>
      </c>
      <c r="AN402" s="93" t="s">
        <v>98</v>
      </c>
      <c r="AO402" s="93" t="s">
        <v>98</v>
      </c>
      <c r="AP402" s="93" t="str">
        <f t="shared" si="132"/>
        <v>#REF!</v>
      </c>
      <c r="AQ402" s="95" t="s">
        <v>98</v>
      </c>
      <c r="AR402" s="95" t="s">
        <v>98</v>
      </c>
      <c r="AS402" s="95" t="str">
        <f t="shared" si="130"/>
        <v>#VALUE!</v>
      </c>
      <c r="AT402" s="95" t="s">
        <v>98</v>
      </c>
      <c r="AU402" s="95" t="s">
        <v>98</v>
      </c>
      <c r="AV402" s="95" t="s">
        <v>98</v>
      </c>
      <c r="AW402" s="95" t="s">
        <v>98</v>
      </c>
      <c r="AX402" s="93" t="s">
        <v>113</v>
      </c>
      <c r="AY402" s="93" t="str">
        <f t="shared" si="124"/>
        <v>#REF!</v>
      </c>
      <c r="AZ402" s="95">
        <f t="shared" si="125"/>
        <v>46171</v>
      </c>
      <c r="BA402" s="95"/>
    </row>
    <row r="403" ht="30.75" customHeight="1">
      <c r="A403" s="114" t="s">
        <v>81</v>
      </c>
      <c r="B403" s="115" t="s">
        <v>82</v>
      </c>
      <c r="C403" s="116" t="s">
        <v>83</v>
      </c>
      <c r="D403" s="114">
        <v>57.0</v>
      </c>
      <c r="E403" s="117" t="s">
        <v>108</v>
      </c>
      <c r="F403" s="114" t="s">
        <v>98</v>
      </c>
      <c r="G403" s="114" t="s">
        <v>86</v>
      </c>
      <c r="H403" s="114" t="s">
        <v>1477</v>
      </c>
      <c r="I403" s="114" t="s">
        <v>88</v>
      </c>
      <c r="J403" s="114" t="s">
        <v>1478</v>
      </c>
      <c r="K403" s="114" t="s">
        <v>1475</v>
      </c>
      <c r="L403" s="114" t="s">
        <v>1479</v>
      </c>
      <c r="M403" s="114">
        <v>8.330120327E9</v>
      </c>
      <c r="N403" s="114" t="s">
        <v>98</v>
      </c>
      <c r="O403" s="114" t="s">
        <v>1480</v>
      </c>
      <c r="P403" s="117">
        <v>12.0</v>
      </c>
      <c r="Q403" s="117">
        <v>1.0</v>
      </c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>
        <v>1.0</v>
      </c>
      <c r="AC403" s="114">
        <v>1.0</v>
      </c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8" t="s">
        <v>95</v>
      </c>
      <c r="AR403" s="118" t="s">
        <v>95</v>
      </c>
      <c r="AS403" s="118" t="s">
        <v>96</v>
      </c>
      <c r="AT403" s="121" t="s">
        <v>1481</v>
      </c>
      <c r="AU403" s="118" t="s">
        <v>98</v>
      </c>
      <c r="AV403" s="118" t="s">
        <v>98</v>
      </c>
      <c r="AW403" s="118" t="s">
        <v>98</v>
      </c>
      <c r="AX403" s="118" t="s">
        <v>99</v>
      </c>
      <c r="AY403" s="114" t="str">
        <f t="shared" si="124"/>
        <v>#REF!</v>
      </c>
      <c r="AZ403" s="118">
        <f t="shared" si="125"/>
        <v>46171</v>
      </c>
      <c r="BA403" s="118"/>
    </row>
    <row r="404" ht="30.75" customHeight="1">
      <c r="A404" s="93"/>
      <c r="B404" s="94" t="s">
        <v>82</v>
      </c>
      <c r="C404" s="94" t="s">
        <v>83</v>
      </c>
      <c r="D404" s="93"/>
      <c r="E404" s="93" t="s">
        <v>84</v>
      </c>
      <c r="F404" s="93"/>
      <c r="G404" s="93" t="s">
        <v>86</v>
      </c>
      <c r="H404" s="93"/>
      <c r="I404" s="93"/>
      <c r="J404" s="93" t="s">
        <v>1482</v>
      </c>
      <c r="K404" s="93" t="s">
        <v>1483</v>
      </c>
      <c r="L404" s="93" t="s">
        <v>1484</v>
      </c>
      <c r="M404" s="93" t="s">
        <v>1485</v>
      </c>
      <c r="N404" s="93"/>
      <c r="O404" s="93"/>
      <c r="P404" s="93">
        <v>12.0</v>
      </c>
      <c r="Q404" s="93">
        <v>1.0</v>
      </c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>
        <v>1.0</v>
      </c>
      <c r="AC404" s="93">
        <v>1.0</v>
      </c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5" t="s">
        <v>95</v>
      </c>
      <c r="AR404" s="95" t="s">
        <v>95</v>
      </c>
      <c r="AS404" s="95" t="str">
        <f>DATE(YEAR(AQ404),MONTH(AQ404)+P404,DAY(AQ404))</f>
        <v>#VALUE!</v>
      </c>
      <c r="AT404" s="93" t="s">
        <v>1486</v>
      </c>
      <c r="AU404" s="95"/>
      <c r="AV404" s="95"/>
      <c r="AW404" s="95"/>
      <c r="AX404" s="93"/>
      <c r="AY404" s="93"/>
      <c r="AZ404" s="95">
        <f t="shared" si="125"/>
        <v>46171</v>
      </c>
      <c r="BA404" s="95"/>
    </row>
    <row r="405" ht="30.75" customHeight="1">
      <c r="A405" s="114" t="s">
        <v>81</v>
      </c>
      <c r="B405" s="115" t="s">
        <v>82</v>
      </c>
      <c r="C405" s="116" t="s">
        <v>83</v>
      </c>
      <c r="D405" s="114">
        <v>58.0</v>
      </c>
      <c r="E405" s="117" t="s">
        <v>108</v>
      </c>
      <c r="F405" s="114" t="s">
        <v>1487</v>
      </c>
      <c r="G405" s="114" t="s">
        <v>672</v>
      </c>
      <c r="H405" s="114" t="s">
        <v>1488</v>
      </c>
      <c r="I405" s="114" t="s">
        <v>88</v>
      </c>
      <c r="J405" s="114" t="s">
        <v>1489</v>
      </c>
      <c r="K405" s="114" t="s">
        <v>1490</v>
      </c>
      <c r="L405" s="114" t="s">
        <v>1491</v>
      </c>
      <c r="M405" s="114" t="s">
        <v>1492</v>
      </c>
      <c r="N405" s="114" t="s">
        <v>98</v>
      </c>
      <c r="O405" s="114" t="s">
        <v>94</v>
      </c>
      <c r="P405" s="117">
        <v>12.0</v>
      </c>
      <c r="Q405" s="117">
        <v>1.0</v>
      </c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>
        <v>1.0</v>
      </c>
      <c r="AC405" s="114">
        <v>1.0</v>
      </c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>
        <v>0.0</v>
      </c>
      <c r="AQ405" s="118" t="s">
        <v>95</v>
      </c>
      <c r="AR405" s="118" t="s">
        <v>95</v>
      </c>
      <c r="AS405" s="118" t="s">
        <v>96</v>
      </c>
      <c r="AT405" s="121" t="s">
        <v>1493</v>
      </c>
      <c r="AU405" s="114" t="s">
        <v>98</v>
      </c>
      <c r="AV405" s="114" t="s">
        <v>98</v>
      </c>
      <c r="AW405" s="114" t="s">
        <v>98</v>
      </c>
      <c r="AX405" s="118" t="s">
        <v>99</v>
      </c>
      <c r="AY405" s="114" t="str">
        <f t="shared" ref="AY405:AY407" si="133">#REF!</f>
        <v>#REF!</v>
      </c>
      <c r="AZ405" s="118">
        <f t="shared" si="125"/>
        <v>46171</v>
      </c>
      <c r="BA405" s="118"/>
    </row>
    <row r="406" ht="30.75" customHeight="1">
      <c r="A406" s="114" t="s">
        <v>81</v>
      </c>
      <c r="B406" s="115" t="s">
        <v>82</v>
      </c>
      <c r="C406" s="116" t="s">
        <v>83</v>
      </c>
      <c r="D406" s="114">
        <v>59.0</v>
      </c>
      <c r="E406" s="117" t="s">
        <v>108</v>
      </c>
      <c r="F406" s="114" t="s">
        <v>1494</v>
      </c>
      <c r="G406" s="114" t="s">
        <v>672</v>
      </c>
      <c r="H406" s="114" t="s">
        <v>1495</v>
      </c>
      <c r="I406" s="114" t="s">
        <v>88</v>
      </c>
      <c r="J406" s="114" t="s">
        <v>1489</v>
      </c>
      <c r="K406" s="114" t="s">
        <v>1496</v>
      </c>
      <c r="L406" s="114" t="s">
        <v>1497</v>
      </c>
      <c r="M406" s="114" t="s">
        <v>1498</v>
      </c>
      <c r="N406" s="114" t="s">
        <v>98</v>
      </c>
      <c r="O406" s="114" t="s">
        <v>94</v>
      </c>
      <c r="P406" s="117">
        <v>12.0</v>
      </c>
      <c r="Q406" s="117">
        <v>1.0</v>
      </c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>
        <v>1.0</v>
      </c>
      <c r="AC406" s="114">
        <v>1.0</v>
      </c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  <c r="AN406" s="114"/>
      <c r="AO406" s="114"/>
      <c r="AP406" s="114">
        <v>0.0</v>
      </c>
      <c r="AQ406" s="118" t="s">
        <v>95</v>
      </c>
      <c r="AR406" s="118" t="s">
        <v>95</v>
      </c>
      <c r="AS406" s="118" t="s">
        <v>96</v>
      </c>
      <c r="AT406" s="121" t="s">
        <v>1499</v>
      </c>
      <c r="AU406" s="114" t="s">
        <v>98</v>
      </c>
      <c r="AV406" s="114" t="s">
        <v>98</v>
      </c>
      <c r="AW406" s="114" t="s">
        <v>98</v>
      </c>
      <c r="AX406" s="118" t="s">
        <v>99</v>
      </c>
      <c r="AY406" s="114" t="str">
        <f t="shared" si="133"/>
        <v>#REF!</v>
      </c>
      <c r="AZ406" s="118">
        <f t="shared" si="125"/>
        <v>46171</v>
      </c>
      <c r="BA406" s="118"/>
    </row>
    <row r="407" ht="30.75" customHeight="1">
      <c r="A407" s="114" t="s">
        <v>81</v>
      </c>
      <c r="B407" s="115" t="s">
        <v>82</v>
      </c>
      <c r="C407" s="116" t="s">
        <v>83</v>
      </c>
      <c r="D407" s="114">
        <v>60.0</v>
      </c>
      <c r="E407" s="117" t="s">
        <v>108</v>
      </c>
      <c r="F407" s="114" t="s">
        <v>1500</v>
      </c>
      <c r="G407" s="114" t="s">
        <v>672</v>
      </c>
      <c r="H407" s="114"/>
      <c r="I407" s="114" t="s">
        <v>88</v>
      </c>
      <c r="J407" s="114" t="s">
        <v>1501</v>
      </c>
      <c r="K407" s="114" t="s">
        <v>1502</v>
      </c>
      <c r="L407" s="114" t="s">
        <v>1503</v>
      </c>
      <c r="M407" s="114">
        <v>5.7169049E7</v>
      </c>
      <c r="N407" s="114"/>
      <c r="O407" s="114"/>
      <c r="P407" s="117">
        <v>12.0</v>
      </c>
      <c r="Q407" s="117">
        <v>1.0</v>
      </c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>
        <v>1.0</v>
      </c>
      <c r="AC407" s="114">
        <v>1.0</v>
      </c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>
        <v>0.0</v>
      </c>
      <c r="AQ407" s="118" t="s">
        <v>95</v>
      </c>
      <c r="AR407" s="118" t="s">
        <v>95</v>
      </c>
      <c r="AS407" s="118" t="s">
        <v>96</v>
      </c>
      <c r="AT407" s="121" t="s">
        <v>1504</v>
      </c>
      <c r="AU407" s="114" t="s">
        <v>98</v>
      </c>
      <c r="AV407" s="114" t="s">
        <v>98</v>
      </c>
      <c r="AW407" s="114" t="s">
        <v>98</v>
      </c>
      <c r="AX407" s="118" t="s">
        <v>99</v>
      </c>
      <c r="AY407" s="114" t="str">
        <f t="shared" si="133"/>
        <v>#REF!</v>
      </c>
      <c r="AZ407" s="118">
        <f t="shared" si="125"/>
        <v>46171</v>
      </c>
      <c r="BA407" s="118"/>
    </row>
    <row r="408" ht="30.75" customHeight="1">
      <c r="A408" s="114" t="s">
        <v>81</v>
      </c>
      <c r="B408" s="115" t="s">
        <v>82</v>
      </c>
      <c r="C408" s="116" t="s">
        <v>83</v>
      </c>
      <c r="D408" s="114"/>
      <c r="E408" s="117" t="s">
        <v>108</v>
      </c>
      <c r="F408" s="114" t="s">
        <v>1505</v>
      </c>
      <c r="G408" s="114" t="s">
        <v>672</v>
      </c>
      <c r="H408" s="114"/>
      <c r="I408" s="114"/>
      <c r="J408" s="114" t="s">
        <v>1501</v>
      </c>
      <c r="K408" s="114" t="s">
        <v>1506</v>
      </c>
      <c r="L408" s="114" t="s">
        <v>1507</v>
      </c>
      <c r="M408" s="114">
        <v>700257.0</v>
      </c>
      <c r="N408" s="114" t="s">
        <v>1508</v>
      </c>
      <c r="O408" s="114"/>
      <c r="P408" s="117"/>
      <c r="Q408" s="117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  <c r="AN408" s="114"/>
      <c r="AO408" s="114"/>
      <c r="AP408" s="114"/>
      <c r="AQ408" s="118"/>
      <c r="AR408" s="118"/>
      <c r="AS408" s="118"/>
      <c r="AT408" s="114"/>
      <c r="AU408" s="140"/>
      <c r="AV408" s="114"/>
      <c r="AW408" s="140"/>
      <c r="AX408" s="114"/>
      <c r="AY408" s="114"/>
      <c r="AZ408" s="118"/>
      <c r="BA408" s="114"/>
    </row>
    <row r="409" ht="30.75" customHeight="1">
      <c r="A409" s="93"/>
      <c r="B409" s="94" t="s">
        <v>107</v>
      </c>
      <c r="C409" s="94" t="s">
        <v>83</v>
      </c>
      <c r="D409" s="93">
        <v>16.0</v>
      </c>
      <c r="E409" s="93" t="s">
        <v>131</v>
      </c>
      <c r="F409" s="93" t="s">
        <v>98</v>
      </c>
      <c r="G409" s="93" t="s">
        <v>161</v>
      </c>
      <c r="H409" s="93" t="s">
        <v>98</v>
      </c>
      <c r="I409" s="93" t="s">
        <v>88</v>
      </c>
      <c r="J409" s="93" t="s">
        <v>1509</v>
      </c>
      <c r="K409" s="93" t="s">
        <v>1510</v>
      </c>
      <c r="L409" s="93" t="s">
        <v>1511</v>
      </c>
      <c r="M409" s="93" t="s">
        <v>98</v>
      </c>
      <c r="N409" s="93"/>
      <c r="O409" s="93" t="s">
        <v>895</v>
      </c>
      <c r="P409" s="93">
        <v>6.0</v>
      </c>
      <c r="Q409" s="93" t="s">
        <v>98</v>
      </c>
      <c r="R409" s="93" t="s">
        <v>98</v>
      </c>
      <c r="S409" s="93" t="s">
        <v>98</v>
      </c>
      <c r="T409" s="93" t="s">
        <v>98</v>
      </c>
      <c r="U409" s="93" t="s">
        <v>98</v>
      </c>
      <c r="V409" s="93" t="s">
        <v>98</v>
      </c>
      <c r="W409" s="93" t="s">
        <v>98</v>
      </c>
      <c r="X409" s="93" t="s">
        <v>98</v>
      </c>
      <c r="Y409" s="93" t="s">
        <v>98</v>
      </c>
      <c r="Z409" s="93" t="s">
        <v>98</v>
      </c>
      <c r="AA409" s="93" t="s">
        <v>98</v>
      </c>
      <c r="AB409" s="93" t="s">
        <v>98</v>
      </c>
      <c r="AC409" s="93" t="s">
        <v>98</v>
      </c>
      <c r="AD409" s="93" t="s">
        <v>98</v>
      </c>
      <c r="AE409" s="93" t="s">
        <v>98</v>
      </c>
      <c r="AF409" s="93" t="s">
        <v>98</v>
      </c>
      <c r="AG409" s="93" t="s">
        <v>98</v>
      </c>
      <c r="AH409" s="93" t="s">
        <v>98</v>
      </c>
      <c r="AI409" s="93" t="s">
        <v>98</v>
      </c>
      <c r="AJ409" s="93" t="s">
        <v>98</v>
      </c>
      <c r="AK409" s="93" t="s">
        <v>98</v>
      </c>
      <c r="AL409" s="93" t="s">
        <v>98</v>
      </c>
      <c r="AM409" s="93" t="s">
        <v>98</v>
      </c>
      <c r="AN409" s="93" t="s">
        <v>98</v>
      </c>
      <c r="AO409" s="93" t="s">
        <v>98</v>
      </c>
      <c r="AP409" s="93">
        <v>0.0</v>
      </c>
      <c r="AQ409" s="93" t="s">
        <v>98</v>
      </c>
      <c r="AR409" s="93" t="s">
        <v>98</v>
      </c>
      <c r="AS409" s="93" t="e">
        <v>#VALUE!</v>
      </c>
      <c r="AT409" s="93" t="s">
        <v>98</v>
      </c>
      <c r="AU409" s="93" t="s">
        <v>98</v>
      </c>
      <c r="AV409" s="93" t="s">
        <v>98</v>
      </c>
      <c r="AW409" s="93" t="s">
        <v>98</v>
      </c>
      <c r="AX409" s="93" t="s">
        <v>113</v>
      </c>
      <c r="AY409" s="93">
        <v>0.0</v>
      </c>
      <c r="AZ409" s="95">
        <v>45370.0</v>
      </c>
      <c r="BA409" s="95"/>
    </row>
    <row r="410" ht="30.75" customHeight="1">
      <c r="A410" s="93" t="s">
        <v>81</v>
      </c>
      <c r="B410" s="94" t="s">
        <v>107</v>
      </c>
      <c r="C410" s="94" t="s">
        <v>83</v>
      </c>
      <c r="D410" s="93">
        <v>19.0</v>
      </c>
      <c r="E410" s="93" t="s">
        <v>116</v>
      </c>
      <c r="F410" s="93" t="s">
        <v>98</v>
      </c>
      <c r="G410" s="93" t="s">
        <v>161</v>
      </c>
      <c r="H410" s="113" t="s">
        <v>1512</v>
      </c>
      <c r="I410" s="93" t="s">
        <v>88</v>
      </c>
      <c r="J410" s="141" t="s">
        <v>1509</v>
      </c>
      <c r="K410" s="93" t="s">
        <v>1513</v>
      </c>
      <c r="L410" s="93" t="s">
        <v>98</v>
      </c>
      <c r="M410" s="102" t="s">
        <v>98</v>
      </c>
      <c r="N410" s="93"/>
      <c r="O410" s="93" t="s">
        <v>895</v>
      </c>
      <c r="P410" s="93">
        <v>6.0</v>
      </c>
      <c r="Q410" s="93" t="s">
        <v>98</v>
      </c>
      <c r="R410" s="93" t="s">
        <v>98</v>
      </c>
      <c r="S410" s="93" t="s">
        <v>98</v>
      </c>
      <c r="T410" s="93" t="s">
        <v>98</v>
      </c>
      <c r="U410" s="93" t="s">
        <v>98</v>
      </c>
      <c r="V410" s="93" t="s">
        <v>98</v>
      </c>
      <c r="W410" s="93" t="s">
        <v>98</v>
      </c>
      <c r="X410" s="93" t="s">
        <v>98</v>
      </c>
      <c r="Y410" s="93" t="s">
        <v>98</v>
      </c>
      <c r="Z410" s="93" t="s">
        <v>98</v>
      </c>
      <c r="AA410" s="93" t="s">
        <v>98</v>
      </c>
      <c r="AB410" s="93" t="s">
        <v>98</v>
      </c>
      <c r="AC410" s="93" t="s">
        <v>98</v>
      </c>
      <c r="AD410" s="93" t="s">
        <v>98</v>
      </c>
      <c r="AE410" s="93" t="s">
        <v>98</v>
      </c>
      <c r="AF410" s="93" t="s">
        <v>98</v>
      </c>
      <c r="AG410" s="93" t="s">
        <v>98</v>
      </c>
      <c r="AH410" s="93" t="s">
        <v>98</v>
      </c>
      <c r="AI410" s="93" t="s">
        <v>98</v>
      </c>
      <c r="AJ410" s="93" t="s">
        <v>98</v>
      </c>
      <c r="AK410" s="93" t="s">
        <v>98</v>
      </c>
      <c r="AL410" s="93" t="s">
        <v>98</v>
      </c>
      <c r="AM410" s="93" t="s">
        <v>98</v>
      </c>
      <c r="AN410" s="93" t="s">
        <v>98</v>
      </c>
      <c r="AO410" s="93" t="s">
        <v>98</v>
      </c>
      <c r="AP410" s="93" t="str">
        <f t="shared" ref="AP410:AP423" si="134">#REF!</f>
        <v>#REF!</v>
      </c>
      <c r="AQ410" s="93" t="s">
        <v>98</v>
      </c>
      <c r="AR410" s="93" t="s">
        <v>98</v>
      </c>
      <c r="AS410" s="95" t="str">
        <f t="shared" ref="AS410:AS421" si="135">DATE(YEAR(AQ410),MONTH(AQ410)+P410,DAY(AQ410))</f>
        <v>#VALUE!</v>
      </c>
      <c r="AT410" s="93" t="s">
        <v>98</v>
      </c>
      <c r="AU410" s="93" t="s">
        <v>98</v>
      </c>
      <c r="AV410" s="93" t="s">
        <v>98</v>
      </c>
      <c r="AW410" s="93" t="s">
        <v>98</v>
      </c>
      <c r="AX410" s="93" t="s">
        <v>113</v>
      </c>
      <c r="AY410" s="93" t="str">
        <f t="shared" ref="AY410:AY423" si="136">#REF!</f>
        <v>#REF!</v>
      </c>
      <c r="AZ410" s="95">
        <f t="shared" ref="AZ410:AZ421" si="137">TODAY()</f>
        <v>46171</v>
      </c>
      <c r="BA410" s="95"/>
    </row>
    <row r="411" ht="30.75" customHeight="1">
      <c r="A411" s="93" t="s">
        <v>176</v>
      </c>
      <c r="B411" s="94" t="s">
        <v>107</v>
      </c>
      <c r="C411" s="94" t="s">
        <v>83</v>
      </c>
      <c r="D411" s="93">
        <v>28.0</v>
      </c>
      <c r="E411" s="93" t="s">
        <v>153</v>
      </c>
      <c r="F411" s="93"/>
      <c r="G411" s="93" t="s">
        <v>161</v>
      </c>
      <c r="H411" s="93"/>
      <c r="I411" s="93" t="s">
        <v>88</v>
      </c>
      <c r="J411" s="93" t="s">
        <v>1509</v>
      </c>
      <c r="K411" s="93" t="s">
        <v>1510</v>
      </c>
      <c r="L411" s="93" t="s">
        <v>1511</v>
      </c>
      <c r="M411" s="93" t="s">
        <v>98</v>
      </c>
      <c r="N411" s="93"/>
      <c r="O411" s="93" t="s">
        <v>895</v>
      </c>
      <c r="P411" s="93">
        <v>6.0</v>
      </c>
      <c r="Q411" s="93" t="s">
        <v>98</v>
      </c>
      <c r="R411" s="93" t="s">
        <v>98</v>
      </c>
      <c r="S411" s="93" t="s">
        <v>98</v>
      </c>
      <c r="T411" s="93" t="s">
        <v>98</v>
      </c>
      <c r="U411" s="93" t="s">
        <v>98</v>
      </c>
      <c r="V411" s="93" t="s">
        <v>98</v>
      </c>
      <c r="W411" s="93" t="s">
        <v>98</v>
      </c>
      <c r="X411" s="93" t="s">
        <v>98</v>
      </c>
      <c r="Y411" s="93" t="s">
        <v>98</v>
      </c>
      <c r="Z411" s="93" t="s">
        <v>98</v>
      </c>
      <c r="AA411" s="93" t="s">
        <v>98</v>
      </c>
      <c r="AB411" s="93" t="s">
        <v>98</v>
      </c>
      <c r="AC411" s="93" t="s">
        <v>98</v>
      </c>
      <c r="AD411" s="93" t="s">
        <v>98</v>
      </c>
      <c r="AE411" s="93" t="s">
        <v>98</v>
      </c>
      <c r="AF411" s="93" t="s">
        <v>98</v>
      </c>
      <c r="AG411" s="93" t="s">
        <v>98</v>
      </c>
      <c r="AH411" s="93" t="s">
        <v>98</v>
      </c>
      <c r="AI411" s="93" t="s">
        <v>98</v>
      </c>
      <c r="AJ411" s="93" t="s">
        <v>98</v>
      </c>
      <c r="AK411" s="93" t="s">
        <v>98</v>
      </c>
      <c r="AL411" s="93" t="s">
        <v>98</v>
      </c>
      <c r="AM411" s="93" t="s">
        <v>98</v>
      </c>
      <c r="AN411" s="93" t="s">
        <v>98</v>
      </c>
      <c r="AO411" s="93" t="s">
        <v>98</v>
      </c>
      <c r="AP411" s="93" t="str">
        <f t="shared" si="134"/>
        <v>#REF!</v>
      </c>
      <c r="AQ411" s="93" t="s">
        <v>98</v>
      </c>
      <c r="AR411" s="93" t="s">
        <v>98</v>
      </c>
      <c r="AS411" s="95" t="str">
        <f t="shared" si="135"/>
        <v>#VALUE!</v>
      </c>
      <c r="AT411" s="93" t="s">
        <v>98</v>
      </c>
      <c r="AU411" s="93" t="s">
        <v>98</v>
      </c>
      <c r="AV411" s="93" t="s">
        <v>98</v>
      </c>
      <c r="AW411" s="93" t="s">
        <v>98</v>
      </c>
      <c r="AX411" s="93" t="s">
        <v>113</v>
      </c>
      <c r="AY411" s="93" t="str">
        <f t="shared" si="136"/>
        <v>#REF!</v>
      </c>
      <c r="AZ411" s="95">
        <f t="shared" si="137"/>
        <v>46171</v>
      </c>
      <c r="BA411" s="95"/>
    </row>
    <row r="412" ht="30.75" customHeight="1">
      <c r="A412" s="93"/>
      <c r="B412" s="94" t="s">
        <v>107</v>
      </c>
      <c r="C412" s="94" t="s">
        <v>83</v>
      </c>
      <c r="D412" s="93">
        <v>80.0</v>
      </c>
      <c r="E412" s="93" t="s">
        <v>84</v>
      </c>
      <c r="F412" s="93" t="s">
        <v>98</v>
      </c>
      <c r="G412" s="93" t="s">
        <v>161</v>
      </c>
      <c r="H412" s="93" t="s">
        <v>1514</v>
      </c>
      <c r="I412" s="93" t="s">
        <v>88</v>
      </c>
      <c r="J412" s="93" t="s">
        <v>1509</v>
      </c>
      <c r="K412" s="93" t="s">
        <v>1515</v>
      </c>
      <c r="L412" s="93" t="s">
        <v>98</v>
      </c>
      <c r="M412" s="93" t="s">
        <v>98</v>
      </c>
      <c r="N412" s="93" t="s">
        <v>98</v>
      </c>
      <c r="O412" s="93" t="s">
        <v>895</v>
      </c>
      <c r="P412" s="93">
        <v>6.0</v>
      </c>
      <c r="Q412" s="93" t="s">
        <v>98</v>
      </c>
      <c r="R412" s="93" t="s">
        <v>98</v>
      </c>
      <c r="S412" s="93" t="s">
        <v>98</v>
      </c>
      <c r="T412" s="93" t="s">
        <v>98</v>
      </c>
      <c r="U412" s="93" t="s">
        <v>98</v>
      </c>
      <c r="V412" s="93" t="s">
        <v>98</v>
      </c>
      <c r="W412" s="93" t="s">
        <v>98</v>
      </c>
      <c r="X412" s="93" t="s">
        <v>98</v>
      </c>
      <c r="Y412" s="93" t="s">
        <v>98</v>
      </c>
      <c r="Z412" s="93" t="s">
        <v>98</v>
      </c>
      <c r="AA412" s="93" t="s">
        <v>98</v>
      </c>
      <c r="AB412" s="93" t="s">
        <v>98</v>
      </c>
      <c r="AC412" s="93" t="s">
        <v>98</v>
      </c>
      <c r="AD412" s="93" t="s">
        <v>98</v>
      </c>
      <c r="AE412" s="93" t="s">
        <v>98</v>
      </c>
      <c r="AF412" s="93" t="s">
        <v>98</v>
      </c>
      <c r="AG412" s="93" t="s">
        <v>98</v>
      </c>
      <c r="AH412" s="93" t="s">
        <v>98</v>
      </c>
      <c r="AI412" s="93" t="s">
        <v>98</v>
      </c>
      <c r="AJ412" s="93" t="s">
        <v>98</v>
      </c>
      <c r="AK412" s="93" t="s">
        <v>98</v>
      </c>
      <c r="AL412" s="93" t="s">
        <v>98</v>
      </c>
      <c r="AM412" s="93" t="s">
        <v>98</v>
      </c>
      <c r="AN412" s="93" t="s">
        <v>98</v>
      </c>
      <c r="AO412" s="93" t="s">
        <v>98</v>
      </c>
      <c r="AP412" s="93" t="str">
        <f t="shared" si="134"/>
        <v>#REF!</v>
      </c>
      <c r="AQ412" s="93" t="s">
        <v>98</v>
      </c>
      <c r="AR412" s="93" t="s">
        <v>98</v>
      </c>
      <c r="AS412" s="95" t="str">
        <f t="shared" si="135"/>
        <v>#VALUE!</v>
      </c>
      <c r="AT412" s="93" t="s">
        <v>98</v>
      </c>
      <c r="AU412" s="93" t="s">
        <v>98</v>
      </c>
      <c r="AV412" s="93" t="s">
        <v>98</v>
      </c>
      <c r="AW412" s="93" t="s">
        <v>98</v>
      </c>
      <c r="AX412" s="93" t="s">
        <v>113</v>
      </c>
      <c r="AY412" s="93" t="str">
        <f t="shared" si="136"/>
        <v>#REF!</v>
      </c>
      <c r="AZ412" s="95">
        <f t="shared" si="137"/>
        <v>46171</v>
      </c>
      <c r="BA412" s="95"/>
    </row>
    <row r="413" ht="30.75" customHeight="1">
      <c r="A413" s="93"/>
      <c r="B413" s="94" t="s">
        <v>107</v>
      </c>
      <c r="C413" s="94" t="s">
        <v>83</v>
      </c>
      <c r="D413" s="94">
        <v>81.0</v>
      </c>
      <c r="E413" s="93" t="s">
        <v>84</v>
      </c>
      <c r="F413" s="93" t="s">
        <v>98</v>
      </c>
      <c r="G413" s="93" t="s">
        <v>161</v>
      </c>
      <c r="H413" s="93" t="s">
        <v>1516</v>
      </c>
      <c r="I413" s="93" t="s">
        <v>88</v>
      </c>
      <c r="J413" s="93" t="s">
        <v>1509</v>
      </c>
      <c r="K413" s="93" t="s">
        <v>1515</v>
      </c>
      <c r="L413" s="93" t="s">
        <v>98</v>
      </c>
      <c r="M413" s="93" t="s">
        <v>98</v>
      </c>
      <c r="N413" s="93" t="s">
        <v>98</v>
      </c>
      <c r="O413" s="93" t="s">
        <v>895</v>
      </c>
      <c r="P413" s="93">
        <v>6.0</v>
      </c>
      <c r="Q413" s="93" t="s">
        <v>98</v>
      </c>
      <c r="R413" s="93" t="s">
        <v>98</v>
      </c>
      <c r="S413" s="93" t="s">
        <v>98</v>
      </c>
      <c r="T413" s="93" t="s">
        <v>98</v>
      </c>
      <c r="U413" s="93" t="s">
        <v>98</v>
      </c>
      <c r="V413" s="93" t="s">
        <v>98</v>
      </c>
      <c r="W413" s="93" t="s">
        <v>98</v>
      </c>
      <c r="X413" s="93" t="s">
        <v>98</v>
      </c>
      <c r="Y413" s="93" t="s">
        <v>98</v>
      </c>
      <c r="Z413" s="93" t="s">
        <v>98</v>
      </c>
      <c r="AA413" s="93" t="s">
        <v>98</v>
      </c>
      <c r="AB413" s="93" t="s">
        <v>98</v>
      </c>
      <c r="AC413" s="93" t="s">
        <v>98</v>
      </c>
      <c r="AD413" s="93" t="s">
        <v>98</v>
      </c>
      <c r="AE413" s="93" t="s">
        <v>98</v>
      </c>
      <c r="AF413" s="93" t="s">
        <v>98</v>
      </c>
      <c r="AG413" s="93" t="s">
        <v>98</v>
      </c>
      <c r="AH413" s="93" t="s">
        <v>98</v>
      </c>
      <c r="AI413" s="93" t="s">
        <v>98</v>
      </c>
      <c r="AJ413" s="93" t="s">
        <v>98</v>
      </c>
      <c r="AK413" s="93" t="s">
        <v>98</v>
      </c>
      <c r="AL413" s="93" t="s">
        <v>98</v>
      </c>
      <c r="AM413" s="93" t="s">
        <v>98</v>
      </c>
      <c r="AN413" s="93" t="s">
        <v>98</v>
      </c>
      <c r="AO413" s="93" t="s">
        <v>98</v>
      </c>
      <c r="AP413" s="93" t="str">
        <f t="shared" si="134"/>
        <v>#REF!</v>
      </c>
      <c r="AQ413" s="93" t="s">
        <v>98</v>
      </c>
      <c r="AR413" s="93" t="s">
        <v>98</v>
      </c>
      <c r="AS413" s="95" t="str">
        <f t="shared" si="135"/>
        <v>#VALUE!</v>
      </c>
      <c r="AT413" s="93" t="s">
        <v>98</v>
      </c>
      <c r="AU413" s="93" t="s">
        <v>98</v>
      </c>
      <c r="AV413" s="93" t="s">
        <v>98</v>
      </c>
      <c r="AW413" s="93" t="s">
        <v>98</v>
      </c>
      <c r="AX413" s="93" t="s">
        <v>113</v>
      </c>
      <c r="AY413" s="93" t="str">
        <f t="shared" si="136"/>
        <v>#REF!</v>
      </c>
      <c r="AZ413" s="95">
        <f t="shared" si="137"/>
        <v>46171</v>
      </c>
      <c r="BA413" s="95"/>
    </row>
    <row r="414" ht="30.75" customHeight="1">
      <c r="A414" s="93"/>
      <c r="B414" s="94" t="s">
        <v>107</v>
      </c>
      <c r="C414" s="94" t="s">
        <v>83</v>
      </c>
      <c r="D414" s="93">
        <v>82.0</v>
      </c>
      <c r="E414" s="93" t="s">
        <v>84</v>
      </c>
      <c r="F414" s="93" t="s">
        <v>98</v>
      </c>
      <c r="G414" s="93" t="s">
        <v>161</v>
      </c>
      <c r="H414" s="93" t="s">
        <v>1517</v>
      </c>
      <c r="I414" s="93" t="s">
        <v>88</v>
      </c>
      <c r="J414" s="93" t="s">
        <v>1509</v>
      </c>
      <c r="K414" s="93" t="s">
        <v>1518</v>
      </c>
      <c r="L414" s="93" t="s">
        <v>1519</v>
      </c>
      <c r="M414" s="93" t="s">
        <v>98</v>
      </c>
      <c r="N414" s="93" t="s">
        <v>98</v>
      </c>
      <c r="O414" s="93" t="s">
        <v>895</v>
      </c>
      <c r="P414" s="93">
        <v>6.0</v>
      </c>
      <c r="Q414" s="93" t="s">
        <v>98</v>
      </c>
      <c r="R414" s="93" t="s">
        <v>98</v>
      </c>
      <c r="S414" s="93" t="s">
        <v>98</v>
      </c>
      <c r="T414" s="93" t="s">
        <v>98</v>
      </c>
      <c r="U414" s="93" t="s">
        <v>98</v>
      </c>
      <c r="V414" s="93" t="s">
        <v>98</v>
      </c>
      <c r="W414" s="93" t="s">
        <v>98</v>
      </c>
      <c r="X414" s="93" t="s">
        <v>98</v>
      </c>
      <c r="Y414" s="93" t="s">
        <v>98</v>
      </c>
      <c r="Z414" s="93" t="s">
        <v>98</v>
      </c>
      <c r="AA414" s="93" t="s">
        <v>98</v>
      </c>
      <c r="AB414" s="93" t="s">
        <v>98</v>
      </c>
      <c r="AC414" s="93" t="s">
        <v>98</v>
      </c>
      <c r="AD414" s="93" t="s">
        <v>98</v>
      </c>
      <c r="AE414" s="93" t="s">
        <v>98</v>
      </c>
      <c r="AF414" s="93" t="s">
        <v>98</v>
      </c>
      <c r="AG414" s="93" t="s">
        <v>98</v>
      </c>
      <c r="AH414" s="93" t="s">
        <v>98</v>
      </c>
      <c r="AI414" s="93" t="s">
        <v>98</v>
      </c>
      <c r="AJ414" s="93" t="s">
        <v>98</v>
      </c>
      <c r="AK414" s="93" t="s">
        <v>98</v>
      </c>
      <c r="AL414" s="93" t="s">
        <v>98</v>
      </c>
      <c r="AM414" s="93" t="s">
        <v>98</v>
      </c>
      <c r="AN414" s="93" t="s">
        <v>98</v>
      </c>
      <c r="AO414" s="93" t="s">
        <v>98</v>
      </c>
      <c r="AP414" s="93" t="str">
        <f t="shared" si="134"/>
        <v>#REF!</v>
      </c>
      <c r="AQ414" s="93" t="s">
        <v>98</v>
      </c>
      <c r="AR414" s="93" t="s">
        <v>98</v>
      </c>
      <c r="AS414" s="95" t="str">
        <f t="shared" si="135"/>
        <v>#VALUE!</v>
      </c>
      <c r="AT414" s="93" t="s">
        <v>98</v>
      </c>
      <c r="AU414" s="93" t="s">
        <v>98</v>
      </c>
      <c r="AV414" s="93" t="s">
        <v>98</v>
      </c>
      <c r="AW414" s="93" t="s">
        <v>98</v>
      </c>
      <c r="AX414" s="93" t="s">
        <v>113</v>
      </c>
      <c r="AY414" s="93" t="str">
        <f t="shared" si="136"/>
        <v>#REF!</v>
      </c>
      <c r="AZ414" s="95">
        <f t="shared" si="137"/>
        <v>46171</v>
      </c>
      <c r="BA414" s="95"/>
    </row>
    <row r="415" ht="30.75" customHeight="1">
      <c r="A415" s="93"/>
      <c r="B415" s="94" t="s">
        <v>107</v>
      </c>
      <c r="C415" s="94" t="s">
        <v>83</v>
      </c>
      <c r="D415" s="94">
        <v>83.0</v>
      </c>
      <c r="E415" s="93" t="s">
        <v>84</v>
      </c>
      <c r="F415" s="93" t="s">
        <v>98</v>
      </c>
      <c r="G415" s="93" t="s">
        <v>161</v>
      </c>
      <c r="H415" s="93" t="s">
        <v>1520</v>
      </c>
      <c r="I415" s="93" t="s">
        <v>88</v>
      </c>
      <c r="J415" s="93" t="s">
        <v>1509</v>
      </c>
      <c r="K415" s="93" t="s">
        <v>1518</v>
      </c>
      <c r="L415" s="93" t="s">
        <v>1519</v>
      </c>
      <c r="M415" s="93" t="s">
        <v>98</v>
      </c>
      <c r="N415" s="93" t="s">
        <v>98</v>
      </c>
      <c r="O415" s="93" t="s">
        <v>895</v>
      </c>
      <c r="P415" s="93">
        <v>6.0</v>
      </c>
      <c r="Q415" s="93" t="s">
        <v>98</v>
      </c>
      <c r="R415" s="93" t="s">
        <v>98</v>
      </c>
      <c r="S415" s="93" t="s">
        <v>98</v>
      </c>
      <c r="T415" s="93" t="s">
        <v>98</v>
      </c>
      <c r="U415" s="93" t="s">
        <v>98</v>
      </c>
      <c r="V415" s="93" t="s">
        <v>98</v>
      </c>
      <c r="W415" s="93" t="s">
        <v>98</v>
      </c>
      <c r="X415" s="93" t="s">
        <v>98</v>
      </c>
      <c r="Y415" s="93" t="s">
        <v>98</v>
      </c>
      <c r="Z415" s="93" t="s">
        <v>98</v>
      </c>
      <c r="AA415" s="93" t="s">
        <v>98</v>
      </c>
      <c r="AB415" s="93" t="s">
        <v>98</v>
      </c>
      <c r="AC415" s="93" t="s">
        <v>98</v>
      </c>
      <c r="AD415" s="93" t="s">
        <v>98</v>
      </c>
      <c r="AE415" s="93" t="s">
        <v>98</v>
      </c>
      <c r="AF415" s="93" t="s">
        <v>98</v>
      </c>
      <c r="AG415" s="93" t="s">
        <v>98</v>
      </c>
      <c r="AH415" s="93" t="s">
        <v>98</v>
      </c>
      <c r="AI415" s="93" t="s">
        <v>98</v>
      </c>
      <c r="AJ415" s="93" t="s">
        <v>98</v>
      </c>
      <c r="AK415" s="93" t="s">
        <v>98</v>
      </c>
      <c r="AL415" s="93" t="s">
        <v>98</v>
      </c>
      <c r="AM415" s="93" t="s">
        <v>98</v>
      </c>
      <c r="AN415" s="93" t="s">
        <v>98</v>
      </c>
      <c r="AO415" s="93" t="s">
        <v>98</v>
      </c>
      <c r="AP415" s="93" t="str">
        <f t="shared" si="134"/>
        <v>#REF!</v>
      </c>
      <c r="AQ415" s="93" t="s">
        <v>98</v>
      </c>
      <c r="AR415" s="93" t="s">
        <v>98</v>
      </c>
      <c r="AS415" s="95" t="str">
        <f t="shared" si="135"/>
        <v>#VALUE!</v>
      </c>
      <c r="AT415" s="93" t="s">
        <v>98</v>
      </c>
      <c r="AU415" s="93" t="s">
        <v>98</v>
      </c>
      <c r="AV415" s="93" t="s">
        <v>98</v>
      </c>
      <c r="AW415" s="93" t="s">
        <v>98</v>
      </c>
      <c r="AX415" s="93" t="s">
        <v>113</v>
      </c>
      <c r="AY415" s="93" t="str">
        <f t="shared" si="136"/>
        <v>#REF!</v>
      </c>
      <c r="AZ415" s="95">
        <f t="shared" si="137"/>
        <v>46171</v>
      </c>
      <c r="BA415" s="95"/>
    </row>
    <row r="416" ht="30.75" customHeight="1">
      <c r="A416" s="93"/>
      <c r="B416" s="94" t="s">
        <v>107</v>
      </c>
      <c r="C416" s="94" t="s">
        <v>83</v>
      </c>
      <c r="D416" s="93">
        <v>84.0</v>
      </c>
      <c r="E416" s="93" t="s">
        <v>84</v>
      </c>
      <c r="F416" s="93" t="s">
        <v>98</v>
      </c>
      <c r="G416" s="93" t="s">
        <v>161</v>
      </c>
      <c r="H416" s="93" t="s">
        <v>1521</v>
      </c>
      <c r="I416" s="93" t="s">
        <v>88</v>
      </c>
      <c r="J416" s="93" t="s">
        <v>1509</v>
      </c>
      <c r="K416" s="93" t="s">
        <v>1518</v>
      </c>
      <c r="L416" s="93" t="s">
        <v>1519</v>
      </c>
      <c r="M416" s="93" t="s">
        <v>98</v>
      </c>
      <c r="N416" s="93" t="s">
        <v>98</v>
      </c>
      <c r="O416" s="93" t="s">
        <v>895</v>
      </c>
      <c r="P416" s="93">
        <v>6.0</v>
      </c>
      <c r="Q416" s="93" t="s">
        <v>98</v>
      </c>
      <c r="R416" s="93" t="s">
        <v>98</v>
      </c>
      <c r="S416" s="93" t="s">
        <v>98</v>
      </c>
      <c r="T416" s="93" t="s">
        <v>98</v>
      </c>
      <c r="U416" s="93" t="s">
        <v>98</v>
      </c>
      <c r="V416" s="93" t="s">
        <v>98</v>
      </c>
      <c r="W416" s="93" t="s">
        <v>98</v>
      </c>
      <c r="X416" s="93" t="s">
        <v>98</v>
      </c>
      <c r="Y416" s="93" t="s">
        <v>98</v>
      </c>
      <c r="Z416" s="93" t="s">
        <v>98</v>
      </c>
      <c r="AA416" s="93" t="s">
        <v>98</v>
      </c>
      <c r="AB416" s="93" t="s">
        <v>98</v>
      </c>
      <c r="AC416" s="93" t="s">
        <v>98</v>
      </c>
      <c r="AD416" s="93" t="s">
        <v>98</v>
      </c>
      <c r="AE416" s="93" t="s">
        <v>98</v>
      </c>
      <c r="AF416" s="93" t="s">
        <v>98</v>
      </c>
      <c r="AG416" s="93" t="s">
        <v>98</v>
      </c>
      <c r="AH416" s="93" t="s">
        <v>98</v>
      </c>
      <c r="AI416" s="93" t="s">
        <v>98</v>
      </c>
      <c r="AJ416" s="93" t="s">
        <v>98</v>
      </c>
      <c r="AK416" s="93" t="s">
        <v>98</v>
      </c>
      <c r="AL416" s="93" t="s">
        <v>98</v>
      </c>
      <c r="AM416" s="93" t="s">
        <v>98</v>
      </c>
      <c r="AN416" s="93" t="s">
        <v>98</v>
      </c>
      <c r="AO416" s="93" t="s">
        <v>98</v>
      </c>
      <c r="AP416" s="93" t="str">
        <f t="shared" si="134"/>
        <v>#REF!</v>
      </c>
      <c r="AQ416" s="93" t="s">
        <v>98</v>
      </c>
      <c r="AR416" s="93" t="s">
        <v>98</v>
      </c>
      <c r="AS416" s="95" t="str">
        <f t="shared" si="135"/>
        <v>#VALUE!</v>
      </c>
      <c r="AT416" s="93" t="s">
        <v>98</v>
      </c>
      <c r="AU416" s="93" t="s">
        <v>98</v>
      </c>
      <c r="AV416" s="93" t="s">
        <v>98</v>
      </c>
      <c r="AW416" s="93" t="s">
        <v>98</v>
      </c>
      <c r="AX416" s="93" t="s">
        <v>113</v>
      </c>
      <c r="AY416" s="93" t="str">
        <f t="shared" si="136"/>
        <v>#REF!</v>
      </c>
      <c r="AZ416" s="95">
        <f t="shared" si="137"/>
        <v>46171</v>
      </c>
      <c r="BA416" s="95"/>
    </row>
    <row r="417" ht="30.75" customHeight="1">
      <c r="A417" s="93" t="s">
        <v>176</v>
      </c>
      <c r="B417" s="94" t="s">
        <v>107</v>
      </c>
      <c r="C417" s="94" t="s">
        <v>83</v>
      </c>
      <c r="D417" s="93">
        <v>16.0</v>
      </c>
      <c r="E417" s="93" t="s">
        <v>173</v>
      </c>
      <c r="F417" s="93" t="s">
        <v>98</v>
      </c>
      <c r="G417" s="93" t="s">
        <v>161</v>
      </c>
      <c r="H417" s="93" t="s">
        <v>1522</v>
      </c>
      <c r="I417" s="93" t="s">
        <v>88</v>
      </c>
      <c r="J417" s="93" t="s">
        <v>1509</v>
      </c>
      <c r="K417" s="93" t="s">
        <v>98</v>
      </c>
      <c r="L417" s="93" t="s">
        <v>98</v>
      </c>
      <c r="M417" s="93" t="s">
        <v>98</v>
      </c>
      <c r="N417" s="93" t="s">
        <v>98</v>
      </c>
      <c r="O417" s="93" t="s">
        <v>895</v>
      </c>
      <c r="P417" s="93">
        <v>6.0</v>
      </c>
      <c r="Q417" s="93" t="s">
        <v>98</v>
      </c>
      <c r="R417" s="93" t="s">
        <v>98</v>
      </c>
      <c r="S417" s="93" t="s">
        <v>98</v>
      </c>
      <c r="T417" s="93" t="s">
        <v>98</v>
      </c>
      <c r="U417" s="93" t="s">
        <v>98</v>
      </c>
      <c r="V417" s="93" t="s">
        <v>98</v>
      </c>
      <c r="W417" s="93" t="s">
        <v>98</v>
      </c>
      <c r="X417" s="93" t="s">
        <v>98</v>
      </c>
      <c r="Y417" s="93" t="s">
        <v>98</v>
      </c>
      <c r="Z417" s="93" t="s">
        <v>98</v>
      </c>
      <c r="AA417" s="93" t="s">
        <v>98</v>
      </c>
      <c r="AB417" s="93" t="s">
        <v>98</v>
      </c>
      <c r="AC417" s="93" t="s">
        <v>98</v>
      </c>
      <c r="AD417" s="93" t="s">
        <v>98</v>
      </c>
      <c r="AE417" s="93" t="s">
        <v>98</v>
      </c>
      <c r="AF417" s="93" t="s">
        <v>98</v>
      </c>
      <c r="AG417" s="93" t="s">
        <v>98</v>
      </c>
      <c r="AH417" s="93" t="s">
        <v>98</v>
      </c>
      <c r="AI417" s="93" t="s">
        <v>98</v>
      </c>
      <c r="AJ417" s="93" t="s">
        <v>98</v>
      </c>
      <c r="AK417" s="93" t="s">
        <v>98</v>
      </c>
      <c r="AL417" s="93" t="s">
        <v>98</v>
      </c>
      <c r="AM417" s="93" t="s">
        <v>98</v>
      </c>
      <c r="AN417" s="93" t="s">
        <v>98</v>
      </c>
      <c r="AO417" s="93" t="s">
        <v>98</v>
      </c>
      <c r="AP417" s="93" t="str">
        <f t="shared" si="134"/>
        <v>#REF!</v>
      </c>
      <c r="AQ417" s="93" t="s">
        <v>98</v>
      </c>
      <c r="AR417" s="93" t="s">
        <v>98</v>
      </c>
      <c r="AS417" s="95" t="str">
        <f t="shared" si="135"/>
        <v>#VALUE!</v>
      </c>
      <c r="AT417" s="93" t="s">
        <v>98</v>
      </c>
      <c r="AU417" s="93" t="s">
        <v>98</v>
      </c>
      <c r="AV417" s="93" t="s">
        <v>98</v>
      </c>
      <c r="AW417" s="93" t="s">
        <v>98</v>
      </c>
      <c r="AX417" s="93" t="s">
        <v>113</v>
      </c>
      <c r="AY417" s="93" t="str">
        <f t="shared" si="136"/>
        <v>#REF!</v>
      </c>
      <c r="AZ417" s="95">
        <f t="shared" si="137"/>
        <v>46171</v>
      </c>
      <c r="BA417" s="95"/>
    </row>
    <row r="418" ht="30.75" customHeight="1">
      <c r="A418" s="97" t="s">
        <v>81</v>
      </c>
      <c r="B418" s="98" t="s">
        <v>107</v>
      </c>
      <c r="C418" s="99" t="s">
        <v>83</v>
      </c>
      <c r="D418" s="97">
        <v>61.0</v>
      </c>
      <c r="E418" s="100" t="s">
        <v>108</v>
      </c>
      <c r="F418" s="97" t="s">
        <v>98</v>
      </c>
      <c r="G418" s="97" t="s">
        <v>161</v>
      </c>
      <c r="H418" s="97" t="s">
        <v>1523</v>
      </c>
      <c r="I418" s="97" t="s">
        <v>88</v>
      </c>
      <c r="J418" s="97" t="s">
        <v>1509</v>
      </c>
      <c r="K418" s="97" t="s">
        <v>1524</v>
      </c>
      <c r="L418" s="97" t="s">
        <v>1525</v>
      </c>
      <c r="M418" s="97" t="s">
        <v>98</v>
      </c>
      <c r="N418" s="97" t="s">
        <v>98</v>
      </c>
      <c r="O418" s="97" t="s">
        <v>895</v>
      </c>
      <c r="P418" s="100">
        <v>6.0</v>
      </c>
      <c r="Q418" s="100" t="s">
        <v>98</v>
      </c>
      <c r="R418" s="97" t="s">
        <v>98</v>
      </c>
      <c r="S418" s="97" t="s">
        <v>98</v>
      </c>
      <c r="T418" s="97" t="s">
        <v>98</v>
      </c>
      <c r="U418" s="97" t="s">
        <v>98</v>
      </c>
      <c r="V418" s="97" t="s">
        <v>98</v>
      </c>
      <c r="W418" s="97" t="s">
        <v>98</v>
      </c>
      <c r="X418" s="97" t="s">
        <v>98</v>
      </c>
      <c r="Y418" s="97" t="s">
        <v>98</v>
      </c>
      <c r="Z418" s="97" t="s">
        <v>98</v>
      </c>
      <c r="AA418" s="97" t="s">
        <v>98</v>
      </c>
      <c r="AB418" s="97" t="s">
        <v>98</v>
      </c>
      <c r="AC418" s="97" t="s">
        <v>98</v>
      </c>
      <c r="AD418" s="97" t="s">
        <v>98</v>
      </c>
      <c r="AE418" s="97" t="s">
        <v>98</v>
      </c>
      <c r="AF418" s="97" t="s">
        <v>98</v>
      </c>
      <c r="AG418" s="97" t="s">
        <v>98</v>
      </c>
      <c r="AH418" s="97" t="s">
        <v>98</v>
      </c>
      <c r="AI418" s="97" t="s">
        <v>98</v>
      </c>
      <c r="AJ418" s="97" t="s">
        <v>98</v>
      </c>
      <c r="AK418" s="97" t="s">
        <v>98</v>
      </c>
      <c r="AL418" s="97" t="s">
        <v>98</v>
      </c>
      <c r="AM418" s="97" t="s">
        <v>98</v>
      </c>
      <c r="AN418" s="97" t="s">
        <v>98</v>
      </c>
      <c r="AO418" s="97" t="s">
        <v>98</v>
      </c>
      <c r="AP418" s="97" t="str">
        <f t="shared" si="134"/>
        <v>#REF!</v>
      </c>
      <c r="AQ418" s="97" t="s">
        <v>98</v>
      </c>
      <c r="AR418" s="97" t="s">
        <v>98</v>
      </c>
      <c r="AS418" s="101" t="str">
        <f t="shared" si="135"/>
        <v>#VALUE!</v>
      </c>
      <c r="AT418" s="97" t="s">
        <v>98</v>
      </c>
      <c r="AU418" s="97" t="s">
        <v>98</v>
      </c>
      <c r="AV418" s="97" t="s">
        <v>98</v>
      </c>
      <c r="AW418" s="97" t="s">
        <v>98</v>
      </c>
      <c r="AX418" s="97" t="s">
        <v>113</v>
      </c>
      <c r="AY418" s="97" t="str">
        <f t="shared" si="136"/>
        <v>#REF!</v>
      </c>
      <c r="AZ418" s="101">
        <f t="shared" si="137"/>
        <v>46171</v>
      </c>
      <c r="BA418" s="101"/>
    </row>
    <row r="419" ht="30.75" customHeight="1">
      <c r="A419" s="97" t="s">
        <v>81</v>
      </c>
      <c r="B419" s="98" t="s">
        <v>107</v>
      </c>
      <c r="C419" s="99" t="s">
        <v>83</v>
      </c>
      <c r="D419" s="97">
        <v>62.0</v>
      </c>
      <c r="E419" s="100" t="s">
        <v>108</v>
      </c>
      <c r="F419" s="97" t="s">
        <v>98</v>
      </c>
      <c r="G419" s="97" t="s">
        <v>161</v>
      </c>
      <c r="H419" s="97" t="s">
        <v>1526</v>
      </c>
      <c r="I419" s="97" t="s">
        <v>88</v>
      </c>
      <c r="J419" s="97" t="s">
        <v>1509</v>
      </c>
      <c r="K419" s="97" t="s">
        <v>1524</v>
      </c>
      <c r="L419" s="97" t="s">
        <v>1525</v>
      </c>
      <c r="M419" s="97" t="s">
        <v>98</v>
      </c>
      <c r="N419" s="97"/>
      <c r="O419" s="97" t="s">
        <v>895</v>
      </c>
      <c r="P419" s="100">
        <v>6.0</v>
      </c>
      <c r="Q419" s="100" t="s">
        <v>98</v>
      </c>
      <c r="R419" s="97" t="s">
        <v>98</v>
      </c>
      <c r="S419" s="97" t="s">
        <v>98</v>
      </c>
      <c r="T419" s="97" t="s">
        <v>98</v>
      </c>
      <c r="U419" s="97" t="s">
        <v>98</v>
      </c>
      <c r="V419" s="97" t="s">
        <v>98</v>
      </c>
      <c r="W419" s="97" t="s">
        <v>98</v>
      </c>
      <c r="X419" s="97" t="s">
        <v>98</v>
      </c>
      <c r="Y419" s="97" t="s">
        <v>98</v>
      </c>
      <c r="Z419" s="97" t="s">
        <v>98</v>
      </c>
      <c r="AA419" s="97" t="s">
        <v>98</v>
      </c>
      <c r="AB419" s="97" t="s">
        <v>98</v>
      </c>
      <c r="AC419" s="97" t="s">
        <v>98</v>
      </c>
      <c r="AD419" s="97" t="s">
        <v>98</v>
      </c>
      <c r="AE419" s="97" t="s">
        <v>98</v>
      </c>
      <c r="AF419" s="97" t="s">
        <v>98</v>
      </c>
      <c r="AG419" s="97" t="s">
        <v>98</v>
      </c>
      <c r="AH419" s="97" t="s">
        <v>98</v>
      </c>
      <c r="AI419" s="97" t="s">
        <v>98</v>
      </c>
      <c r="AJ419" s="97" t="s">
        <v>98</v>
      </c>
      <c r="AK419" s="97" t="s">
        <v>98</v>
      </c>
      <c r="AL419" s="97" t="s">
        <v>98</v>
      </c>
      <c r="AM419" s="97" t="s">
        <v>98</v>
      </c>
      <c r="AN419" s="97" t="s">
        <v>98</v>
      </c>
      <c r="AO419" s="97" t="s">
        <v>98</v>
      </c>
      <c r="AP419" s="97" t="str">
        <f t="shared" si="134"/>
        <v>#REF!</v>
      </c>
      <c r="AQ419" s="97" t="s">
        <v>98</v>
      </c>
      <c r="AR419" s="97" t="s">
        <v>98</v>
      </c>
      <c r="AS419" s="101" t="str">
        <f t="shared" si="135"/>
        <v>#VALUE!</v>
      </c>
      <c r="AT419" s="97" t="s">
        <v>98</v>
      </c>
      <c r="AU419" s="97" t="s">
        <v>98</v>
      </c>
      <c r="AV419" s="97" t="s">
        <v>98</v>
      </c>
      <c r="AW419" s="97" t="s">
        <v>98</v>
      </c>
      <c r="AX419" s="97" t="s">
        <v>113</v>
      </c>
      <c r="AY419" s="97" t="str">
        <f t="shared" si="136"/>
        <v>#REF!</v>
      </c>
      <c r="AZ419" s="101">
        <f t="shared" si="137"/>
        <v>46171</v>
      </c>
      <c r="BA419" s="101"/>
    </row>
    <row r="420" ht="30.75" customHeight="1">
      <c r="A420" s="93" t="s">
        <v>176</v>
      </c>
      <c r="B420" s="94" t="s">
        <v>82</v>
      </c>
      <c r="C420" s="94" t="s">
        <v>83</v>
      </c>
      <c r="D420" s="93">
        <v>20.0</v>
      </c>
      <c r="E420" s="93" t="s">
        <v>116</v>
      </c>
      <c r="F420" s="93"/>
      <c r="G420" s="93" t="s">
        <v>86</v>
      </c>
      <c r="H420" s="93" t="s">
        <v>480</v>
      </c>
      <c r="I420" s="93" t="s">
        <v>88</v>
      </c>
      <c r="J420" s="93" t="s">
        <v>1527</v>
      </c>
      <c r="K420" s="93" t="s">
        <v>469</v>
      </c>
      <c r="L420" s="93" t="s">
        <v>470</v>
      </c>
      <c r="M420" s="102"/>
      <c r="N420" s="93"/>
      <c r="O420" s="93" t="s">
        <v>94</v>
      </c>
      <c r="P420" s="93">
        <v>12.0</v>
      </c>
      <c r="Q420" s="93">
        <v>1.0</v>
      </c>
      <c r="R420" s="93"/>
      <c r="S420" s="93"/>
      <c r="T420" s="93"/>
      <c r="U420" s="93"/>
      <c r="V420" s="93">
        <v>1.0</v>
      </c>
      <c r="W420" s="93">
        <v>1.0</v>
      </c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 t="str">
        <f t="shared" si="134"/>
        <v>#REF!</v>
      </c>
      <c r="AQ420" s="95">
        <v>45012.0</v>
      </c>
      <c r="AR420" s="95">
        <v>45012.0</v>
      </c>
      <c r="AS420" s="95">
        <f t="shared" si="135"/>
        <v>45378</v>
      </c>
      <c r="AT420" s="93" t="s">
        <v>1528</v>
      </c>
      <c r="AU420" s="93" t="s">
        <v>1529</v>
      </c>
      <c r="AV420" s="93" t="s">
        <v>508</v>
      </c>
      <c r="AW420" s="93" t="s">
        <v>1530</v>
      </c>
      <c r="AX420" s="95" t="s">
        <v>99</v>
      </c>
      <c r="AY420" s="93" t="str">
        <f t="shared" si="136"/>
        <v>#REF!</v>
      </c>
      <c r="AZ420" s="95">
        <f t="shared" si="137"/>
        <v>46171</v>
      </c>
      <c r="BA420" s="95"/>
    </row>
    <row r="421" ht="30.75" customHeight="1">
      <c r="A421" s="93"/>
      <c r="B421" s="94" t="s">
        <v>82</v>
      </c>
      <c r="C421" s="94" t="s">
        <v>83</v>
      </c>
      <c r="D421" s="93">
        <v>29.0</v>
      </c>
      <c r="E421" s="93" t="s">
        <v>153</v>
      </c>
      <c r="F421" s="93" t="s">
        <v>1531</v>
      </c>
      <c r="G421" s="93" t="s">
        <v>86</v>
      </c>
      <c r="H421" s="93" t="s">
        <v>1532</v>
      </c>
      <c r="I421" s="93" t="s">
        <v>88</v>
      </c>
      <c r="J421" s="93" t="s">
        <v>1527</v>
      </c>
      <c r="K421" s="93" t="s">
        <v>474</v>
      </c>
      <c r="L421" s="93" t="s">
        <v>470</v>
      </c>
      <c r="M421" s="93" t="s">
        <v>98</v>
      </c>
      <c r="N421" s="93"/>
      <c r="O421" s="93" t="s">
        <v>94</v>
      </c>
      <c r="P421" s="93">
        <v>12.0</v>
      </c>
      <c r="Q421" s="93">
        <v>12.0</v>
      </c>
      <c r="R421" s="93"/>
      <c r="S421" s="93"/>
      <c r="T421" s="93"/>
      <c r="U421" s="93"/>
      <c r="V421" s="93">
        <v>1.0</v>
      </c>
      <c r="W421" s="93">
        <v>1.0</v>
      </c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 t="str">
        <f t="shared" si="134"/>
        <v>#REF!</v>
      </c>
      <c r="AQ421" s="95">
        <v>45012.0</v>
      </c>
      <c r="AR421" s="95">
        <v>45012.0</v>
      </c>
      <c r="AS421" s="95">
        <f t="shared" si="135"/>
        <v>45378</v>
      </c>
      <c r="AT421" s="93" t="s">
        <v>1533</v>
      </c>
      <c r="AU421" s="93"/>
      <c r="AV421" s="93"/>
      <c r="AW421" s="93"/>
      <c r="AX421" s="93" t="s">
        <v>99</v>
      </c>
      <c r="AY421" s="93" t="str">
        <f t="shared" si="136"/>
        <v>#REF!</v>
      </c>
      <c r="AZ421" s="95">
        <f t="shared" si="137"/>
        <v>46171</v>
      </c>
      <c r="BA421" s="95"/>
    </row>
    <row r="422" ht="30.75" customHeight="1">
      <c r="A422" s="93" t="s">
        <v>81</v>
      </c>
      <c r="B422" s="94" t="s">
        <v>82</v>
      </c>
      <c r="C422" s="94" t="s">
        <v>83</v>
      </c>
      <c r="D422" s="93">
        <v>30.0</v>
      </c>
      <c r="E422" s="93" t="s">
        <v>153</v>
      </c>
      <c r="F422" s="93" t="s">
        <v>1534</v>
      </c>
      <c r="G422" s="93" t="s">
        <v>86</v>
      </c>
      <c r="H422" s="93" t="s">
        <v>1535</v>
      </c>
      <c r="I422" s="93" t="s">
        <v>88</v>
      </c>
      <c r="J422" s="93" t="s">
        <v>1527</v>
      </c>
      <c r="K422" s="93" t="s">
        <v>469</v>
      </c>
      <c r="L422" s="93" t="s">
        <v>470</v>
      </c>
      <c r="M422" s="93"/>
      <c r="N422" s="93"/>
      <c r="O422" s="93" t="s">
        <v>94</v>
      </c>
      <c r="P422" s="93">
        <v>12.0</v>
      </c>
      <c r="Q422" s="93">
        <v>12.0</v>
      </c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>
        <v>1.0</v>
      </c>
      <c r="AG422" s="93">
        <v>1.0</v>
      </c>
      <c r="AH422" s="93"/>
      <c r="AI422" s="93"/>
      <c r="AJ422" s="93"/>
      <c r="AK422" s="93"/>
      <c r="AL422" s="93"/>
      <c r="AM422" s="93"/>
      <c r="AN422" s="93"/>
      <c r="AO422" s="93"/>
      <c r="AP422" s="93" t="str">
        <f t="shared" si="134"/>
        <v>#REF!</v>
      </c>
      <c r="AQ422" s="93" t="s">
        <v>484</v>
      </c>
      <c r="AR422" s="93" t="s">
        <v>484</v>
      </c>
      <c r="AS422" s="93" t="s">
        <v>485</v>
      </c>
      <c r="AT422" s="93" t="s">
        <v>1536</v>
      </c>
      <c r="AU422" s="93"/>
      <c r="AV422" s="93"/>
      <c r="AW422" s="93"/>
      <c r="AX422" s="93" t="s">
        <v>99</v>
      </c>
      <c r="AY422" s="93" t="str">
        <f t="shared" si="136"/>
        <v>#REF!</v>
      </c>
      <c r="AZ422" s="95"/>
      <c r="BA422" s="95"/>
    </row>
    <row r="423" ht="30.75" customHeight="1">
      <c r="A423" s="93"/>
      <c r="B423" s="94" t="s">
        <v>82</v>
      </c>
      <c r="C423" s="94" t="s">
        <v>83</v>
      </c>
      <c r="D423" s="93">
        <v>17.0</v>
      </c>
      <c r="E423" s="93" t="s">
        <v>336</v>
      </c>
      <c r="F423" s="93" t="s">
        <v>523</v>
      </c>
      <c r="G423" s="93" t="s">
        <v>86</v>
      </c>
      <c r="H423" s="93" t="s">
        <v>524</v>
      </c>
      <c r="I423" s="93" t="s">
        <v>88</v>
      </c>
      <c r="J423" s="93" t="s">
        <v>1527</v>
      </c>
      <c r="K423" s="93" t="s">
        <v>469</v>
      </c>
      <c r="L423" s="93" t="s">
        <v>470</v>
      </c>
      <c r="M423" s="93"/>
      <c r="N423" s="93"/>
      <c r="O423" s="93" t="s">
        <v>94</v>
      </c>
      <c r="P423" s="93">
        <v>12.0</v>
      </c>
      <c r="Q423" s="93">
        <v>1.0</v>
      </c>
      <c r="R423" s="93"/>
      <c r="S423" s="93"/>
      <c r="T423" s="93"/>
      <c r="U423" s="93"/>
      <c r="V423" s="93">
        <v>1.0</v>
      </c>
      <c r="W423" s="93">
        <v>1.0</v>
      </c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 t="str">
        <f t="shared" si="134"/>
        <v>#REF!</v>
      </c>
      <c r="AQ423" s="95">
        <v>45012.0</v>
      </c>
      <c r="AR423" s="95">
        <v>45012.0</v>
      </c>
      <c r="AS423" s="95">
        <f>DATE(YEAR(AQ423),MONTH(AQ423)+P423,DAY(AQ423))</f>
        <v>45378</v>
      </c>
      <c r="AT423" s="93" t="s">
        <v>1537</v>
      </c>
      <c r="AU423" s="93" t="s">
        <v>1538</v>
      </c>
      <c r="AV423" s="93">
        <v>0.092</v>
      </c>
      <c r="AW423" s="93" t="s">
        <v>1539</v>
      </c>
      <c r="AX423" s="95" t="s">
        <v>99</v>
      </c>
      <c r="AY423" s="93" t="str">
        <f t="shared" si="136"/>
        <v>#REF!</v>
      </c>
      <c r="AZ423" s="95">
        <f>TODAY()</f>
        <v>46171</v>
      </c>
      <c r="BA423" s="95"/>
    </row>
    <row r="424" ht="30.75" customHeight="1">
      <c r="A424" s="93" t="s">
        <v>106</v>
      </c>
      <c r="B424" s="94" t="s">
        <v>82</v>
      </c>
      <c r="C424" s="94" t="s">
        <v>83</v>
      </c>
      <c r="D424" s="93">
        <v>17.0</v>
      </c>
      <c r="E424" s="93" t="s">
        <v>173</v>
      </c>
      <c r="F424" s="93"/>
      <c r="G424" s="93" t="s">
        <v>86</v>
      </c>
      <c r="H424" s="93" t="s">
        <v>1540</v>
      </c>
      <c r="I424" s="93"/>
      <c r="J424" s="93" t="s">
        <v>1527</v>
      </c>
      <c r="K424" s="93" t="s">
        <v>469</v>
      </c>
      <c r="L424" s="93" t="s">
        <v>470</v>
      </c>
      <c r="M424" s="93" t="s">
        <v>98</v>
      </c>
      <c r="N424" s="93" t="s">
        <v>98</v>
      </c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5"/>
      <c r="AT424" s="93"/>
      <c r="AU424" s="93"/>
      <c r="AV424" s="93"/>
      <c r="AW424" s="93"/>
      <c r="AX424" s="93"/>
      <c r="AY424" s="93"/>
      <c r="AZ424" s="95"/>
      <c r="BA424" s="95"/>
    </row>
    <row r="425" ht="30.75" customHeight="1">
      <c r="A425" s="93" t="s">
        <v>176</v>
      </c>
      <c r="B425" s="94" t="s">
        <v>107</v>
      </c>
      <c r="C425" s="94" t="s">
        <v>83</v>
      </c>
      <c r="D425" s="93">
        <v>17.0</v>
      </c>
      <c r="E425" s="93" t="s">
        <v>173</v>
      </c>
      <c r="F425" s="93"/>
      <c r="G425" s="93" t="s">
        <v>86</v>
      </c>
      <c r="H425" s="93" t="s">
        <v>505</v>
      </c>
      <c r="I425" s="93" t="s">
        <v>88</v>
      </c>
      <c r="J425" s="93" t="s">
        <v>1527</v>
      </c>
      <c r="K425" s="93" t="s">
        <v>469</v>
      </c>
      <c r="L425" s="93" t="s">
        <v>470</v>
      </c>
      <c r="M425" s="93" t="s">
        <v>98</v>
      </c>
      <c r="N425" s="93" t="s">
        <v>98</v>
      </c>
      <c r="O425" s="93" t="s">
        <v>94</v>
      </c>
      <c r="P425" s="93">
        <v>12.0</v>
      </c>
      <c r="Q425" s="93" t="s">
        <v>98</v>
      </c>
      <c r="R425" s="93" t="s">
        <v>98</v>
      </c>
      <c r="S425" s="93" t="s">
        <v>98</v>
      </c>
      <c r="T425" s="93" t="s">
        <v>98</v>
      </c>
      <c r="U425" s="93" t="s">
        <v>98</v>
      </c>
      <c r="V425" s="93" t="s">
        <v>98</v>
      </c>
      <c r="W425" s="93" t="s">
        <v>98</v>
      </c>
      <c r="X425" s="93" t="s">
        <v>98</v>
      </c>
      <c r="Y425" s="93" t="s">
        <v>98</v>
      </c>
      <c r="Z425" s="93" t="s">
        <v>98</v>
      </c>
      <c r="AA425" s="93" t="s">
        <v>98</v>
      </c>
      <c r="AB425" s="93" t="s">
        <v>98</v>
      </c>
      <c r="AC425" s="93" t="s">
        <v>98</v>
      </c>
      <c r="AD425" s="93" t="s">
        <v>98</v>
      </c>
      <c r="AE425" s="93" t="s">
        <v>98</v>
      </c>
      <c r="AF425" s="93" t="s">
        <v>98</v>
      </c>
      <c r="AG425" s="93" t="s">
        <v>98</v>
      </c>
      <c r="AH425" s="93" t="s">
        <v>98</v>
      </c>
      <c r="AI425" s="93" t="s">
        <v>98</v>
      </c>
      <c r="AJ425" s="93" t="s">
        <v>98</v>
      </c>
      <c r="AK425" s="93" t="s">
        <v>98</v>
      </c>
      <c r="AL425" s="93" t="s">
        <v>98</v>
      </c>
      <c r="AM425" s="93" t="s">
        <v>98</v>
      </c>
      <c r="AN425" s="93" t="s">
        <v>98</v>
      </c>
      <c r="AO425" s="93" t="s">
        <v>98</v>
      </c>
      <c r="AP425" s="93" t="str">
        <f t="shared" ref="AP425:AP431" si="138">#REF!</f>
        <v>#REF!</v>
      </c>
      <c r="AQ425" s="93" t="s">
        <v>98</v>
      </c>
      <c r="AR425" s="93" t="s">
        <v>98</v>
      </c>
      <c r="AS425" s="95" t="str">
        <f t="shared" ref="AS425:AS431" si="139">DATE(YEAR(AQ425),MONTH(AQ425)+P425,DAY(AQ425))</f>
        <v>#VALUE!</v>
      </c>
      <c r="AT425" s="93" t="s">
        <v>98</v>
      </c>
      <c r="AU425" s="93" t="s">
        <v>98</v>
      </c>
      <c r="AV425" s="93" t="s">
        <v>98</v>
      </c>
      <c r="AW425" s="93" t="s">
        <v>98</v>
      </c>
      <c r="AX425" s="93" t="s">
        <v>113</v>
      </c>
      <c r="AY425" s="93" t="str">
        <f t="shared" ref="AY425:AY431" si="140">#REF!</f>
        <v>#REF!</v>
      </c>
      <c r="AZ425" s="95">
        <f>TODAY()</f>
        <v>46171</v>
      </c>
      <c r="BA425" s="95"/>
    </row>
    <row r="426" ht="30.75" customHeight="1">
      <c r="A426" s="93"/>
      <c r="B426" s="94" t="s">
        <v>82</v>
      </c>
      <c r="C426" s="110" t="s">
        <v>83</v>
      </c>
      <c r="D426" s="93">
        <v>63.0</v>
      </c>
      <c r="E426" s="111" t="s">
        <v>108</v>
      </c>
      <c r="F426" s="93" t="s">
        <v>1541</v>
      </c>
      <c r="G426" s="93" t="s">
        <v>86</v>
      </c>
      <c r="H426" s="93" t="s">
        <v>98</v>
      </c>
      <c r="I426" s="93" t="s">
        <v>88</v>
      </c>
      <c r="J426" s="93" t="s">
        <v>1527</v>
      </c>
      <c r="K426" s="93" t="s">
        <v>469</v>
      </c>
      <c r="L426" s="93" t="s">
        <v>470</v>
      </c>
      <c r="M426" s="93"/>
      <c r="N426" s="93"/>
      <c r="O426" s="93" t="s">
        <v>94</v>
      </c>
      <c r="P426" s="111">
        <v>12.0</v>
      </c>
      <c r="Q426" s="111" t="s">
        <v>98</v>
      </c>
      <c r="R426" s="93" t="s">
        <v>98</v>
      </c>
      <c r="S426" s="93" t="s">
        <v>98</v>
      </c>
      <c r="T426" s="93" t="s">
        <v>98</v>
      </c>
      <c r="U426" s="93" t="s">
        <v>98</v>
      </c>
      <c r="V426" s="93" t="s">
        <v>98</v>
      </c>
      <c r="W426" s="93" t="s">
        <v>98</v>
      </c>
      <c r="X426" s="93" t="s">
        <v>98</v>
      </c>
      <c r="Y426" s="93" t="s">
        <v>98</v>
      </c>
      <c r="Z426" s="93" t="s">
        <v>98</v>
      </c>
      <c r="AA426" s="93" t="s">
        <v>98</v>
      </c>
      <c r="AB426" s="93" t="s">
        <v>98</v>
      </c>
      <c r="AC426" s="93" t="s">
        <v>98</v>
      </c>
      <c r="AD426" s="93" t="s">
        <v>98</v>
      </c>
      <c r="AE426" s="93" t="s">
        <v>98</v>
      </c>
      <c r="AF426" s="93" t="s">
        <v>98</v>
      </c>
      <c r="AG426" s="93" t="s">
        <v>98</v>
      </c>
      <c r="AH426" s="93" t="s">
        <v>98</v>
      </c>
      <c r="AI426" s="93" t="s">
        <v>98</v>
      </c>
      <c r="AJ426" s="93" t="s">
        <v>98</v>
      </c>
      <c r="AK426" s="93" t="s">
        <v>98</v>
      </c>
      <c r="AL426" s="93" t="s">
        <v>98</v>
      </c>
      <c r="AM426" s="93" t="s">
        <v>98</v>
      </c>
      <c r="AN426" s="93" t="s">
        <v>98</v>
      </c>
      <c r="AO426" s="93" t="s">
        <v>98</v>
      </c>
      <c r="AP426" s="93" t="str">
        <f t="shared" si="138"/>
        <v>#REF!</v>
      </c>
      <c r="AQ426" s="95" t="s">
        <v>98</v>
      </c>
      <c r="AR426" s="95" t="s">
        <v>98</v>
      </c>
      <c r="AS426" s="95" t="str">
        <f t="shared" si="139"/>
        <v>#VALUE!</v>
      </c>
      <c r="AT426" s="95" t="s">
        <v>98</v>
      </c>
      <c r="AU426" s="95" t="s">
        <v>98</v>
      </c>
      <c r="AV426" s="95" t="s">
        <v>98</v>
      </c>
      <c r="AW426" s="95" t="s">
        <v>98</v>
      </c>
      <c r="AX426" s="93" t="s">
        <v>472</v>
      </c>
      <c r="AY426" s="93" t="str">
        <f t="shared" si="140"/>
        <v>#REF!</v>
      </c>
      <c r="AZ426" s="95"/>
      <c r="BA426" s="95"/>
    </row>
    <row r="427" ht="30.75" customHeight="1">
      <c r="A427" s="93"/>
      <c r="B427" s="94" t="s">
        <v>82</v>
      </c>
      <c r="C427" s="94" t="s">
        <v>83</v>
      </c>
      <c r="D427" s="94">
        <v>85.0</v>
      </c>
      <c r="E427" s="93" t="s">
        <v>84</v>
      </c>
      <c r="F427" s="93" t="s">
        <v>98</v>
      </c>
      <c r="G427" s="93" t="s">
        <v>86</v>
      </c>
      <c r="H427" s="93" t="s">
        <v>1542</v>
      </c>
      <c r="I427" s="93" t="s">
        <v>88</v>
      </c>
      <c r="J427" s="93" t="s">
        <v>1543</v>
      </c>
      <c r="K427" s="93" t="s">
        <v>469</v>
      </c>
      <c r="L427" s="93" t="s">
        <v>490</v>
      </c>
      <c r="M427" s="93" t="s">
        <v>98</v>
      </c>
      <c r="N427" s="93" t="s">
        <v>98</v>
      </c>
      <c r="O427" s="93" t="s">
        <v>94</v>
      </c>
      <c r="P427" s="93">
        <v>12.0</v>
      </c>
      <c r="Q427" s="93" t="s">
        <v>98</v>
      </c>
      <c r="R427" s="93" t="s">
        <v>98</v>
      </c>
      <c r="S427" s="93" t="s">
        <v>98</v>
      </c>
      <c r="T427" s="93" t="s">
        <v>98</v>
      </c>
      <c r="U427" s="93" t="s">
        <v>98</v>
      </c>
      <c r="V427" s="93" t="s">
        <v>98</v>
      </c>
      <c r="W427" s="93" t="s">
        <v>98</v>
      </c>
      <c r="X427" s="93" t="s">
        <v>98</v>
      </c>
      <c r="Y427" s="93" t="s">
        <v>98</v>
      </c>
      <c r="Z427" s="93" t="s">
        <v>98</v>
      </c>
      <c r="AA427" s="93" t="s">
        <v>98</v>
      </c>
      <c r="AB427" s="93" t="s">
        <v>98</v>
      </c>
      <c r="AC427" s="93" t="s">
        <v>98</v>
      </c>
      <c r="AD427" s="93" t="s">
        <v>98</v>
      </c>
      <c r="AE427" s="93" t="s">
        <v>98</v>
      </c>
      <c r="AF427" s="93" t="s">
        <v>98</v>
      </c>
      <c r="AG427" s="93" t="s">
        <v>98</v>
      </c>
      <c r="AH427" s="93" t="s">
        <v>98</v>
      </c>
      <c r="AI427" s="93" t="s">
        <v>98</v>
      </c>
      <c r="AJ427" s="93" t="s">
        <v>98</v>
      </c>
      <c r="AK427" s="93" t="s">
        <v>98</v>
      </c>
      <c r="AL427" s="93" t="s">
        <v>98</v>
      </c>
      <c r="AM427" s="93" t="s">
        <v>98</v>
      </c>
      <c r="AN427" s="93" t="s">
        <v>98</v>
      </c>
      <c r="AO427" s="93" t="s">
        <v>98</v>
      </c>
      <c r="AP427" s="93" t="str">
        <f t="shared" si="138"/>
        <v>#REF!</v>
      </c>
      <c r="AQ427" s="95" t="s">
        <v>98</v>
      </c>
      <c r="AR427" s="95" t="s">
        <v>98</v>
      </c>
      <c r="AS427" s="95" t="str">
        <f t="shared" si="139"/>
        <v>#VALUE!</v>
      </c>
      <c r="AT427" s="95" t="s">
        <v>98</v>
      </c>
      <c r="AU427" s="95" t="s">
        <v>98</v>
      </c>
      <c r="AV427" s="95" t="s">
        <v>98</v>
      </c>
      <c r="AW427" s="95" t="s">
        <v>98</v>
      </c>
      <c r="AX427" s="93" t="s">
        <v>472</v>
      </c>
      <c r="AY427" s="93" t="str">
        <f t="shared" si="140"/>
        <v>#REF!</v>
      </c>
      <c r="AZ427" s="95">
        <f t="shared" ref="AZ427:AZ431" si="141">TODAY()</f>
        <v>46171</v>
      </c>
      <c r="BA427" s="95"/>
    </row>
    <row r="428" ht="30.75" customHeight="1">
      <c r="A428" s="93"/>
      <c r="B428" s="94" t="s">
        <v>82</v>
      </c>
      <c r="C428" s="94" t="s">
        <v>83</v>
      </c>
      <c r="D428" s="93">
        <v>86.0</v>
      </c>
      <c r="E428" s="93" t="s">
        <v>84</v>
      </c>
      <c r="F428" s="93" t="s">
        <v>98</v>
      </c>
      <c r="G428" s="93" t="s">
        <v>86</v>
      </c>
      <c r="H428" s="93" t="s">
        <v>529</v>
      </c>
      <c r="I428" s="93" t="s">
        <v>88</v>
      </c>
      <c r="J428" s="93" t="s">
        <v>1544</v>
      </c>
      <c r="K428" s="93" t="s">
        <v>469</v>
      </c>
      <c r="L428" s="93" t="s">
        <v>490</v>
      </c>
      <c r="M428" s="93" t="s">
        <v>98</v>
      </c>
      <c r="N428" s="93" t="s">
        <v>98</v>
      </c>
      <c r="O428" s="93" t="s">
        <v>94</v>
      </c>
      <c r="P428" s="93">
        <v>12.0</v>
      </c>
      <c r="Q428" s="93" t="s">
        <v>98</v>
      </c>
      <c r="R428" s="93" t="s">
        <v>98</v>
      </c>
      <c r="S428" s="93" t="s">
        <v>98</v>
      </c>
      <c r="T428" s="93" t="s">
        <v>98</v>
      </c>
      <c r="U428" s="93" t="s">
        <v>98</v>
      </c>
      <c r="V428" s="93" t="s">
        <v>98</v>
      </c>
      <c r="W428" s="93" t="s">
        <v>98</v>
      </c>
      <c r="X428" s="93" t="s">
        <v>98</v>
      </c>
      <c r="Y428" s="93" t="s">
        <v>98</v>
      </c>
      <c r="Z428" s="93" t="s">
        <v>98</v>
      </c>
      <c r="AA428" s="93" t="s">
        <v>98</v>
      </c>
      <c r="AB428" s="93" t="s">
        <v>98</v>
      </c>
      <c r="AC428" s="93" t="s">
        <v>98</v>
      </c>
      <c r="AD428" s="93" t="s">
        <v>98</v>
      </c>
      <c r="AE428" s="93" t="s">
        <v>98</v>
      </c>
      <c r="AF428" s="93" t="s">
        <v>98</v>
      </c>
      <c r="AG428" s="93" t="s">
        <v>98</v>
      </c>
      <c r="AH428" s="93" t="s">
        <v>98</v>
      </c>
      <c r="AI428" s="93" t="s">
        <v>98</v>
      </c>
      <c r="AJ428" s="93" t="s">
        <v>98</v>
      </c>
      <c r="AK428" s="93" t="s">
        <v>98</v>
      </c>
      <c r="AL428" s="93" t="s">
        <v>98</v>
      </c>
      <c r="AM428" s="93" t="s">
        <v>98</v>
      </c>
      <c r="AN428" s="93" t="s">
        <v>98</v>
      </c>
      <c r="AO428" s="93" t="s">
        <v>98</v>
      </c>
      <c r="AP428" s="93" t="str">
        <f t="shared" si="138"/>
        <v>#REF!</v>
      </c>
      <c r="AQ428" s="95" t="s">
        <v>98</v>
      </c>
      <c r="AR428" s="95" t="s">
        <v>98</v>
      </c>
      <c r="AS428" s="95" t="str">
        <f t="shared" si="139"/>
        <v>#VALUE!</v>
      </c>
      <c r="AT428" s="95" t="s">
        <v>98</v>
      </c>
      <c r="AU428" s="95" t="s">
        <v>98</v>
      </c>
      <c r="AV428" s="95" t="s">
        <v>98</v>
      </c>
      <c r="AW428" s="95" t="s">
        <v>98</v>
      </c>
      <c r="AX428" s="93" t="s">
        <v>472</v>
      </c>
      <c r="AY428" s="93" t="str">
        <f t="shared" si="140"/>
        <v>#REF!</v>
      </c>
      <c r="AZ428" s="95">
        <f t="shared" si="141"/>
        <v>46171</v>
      </c>
      <c r="BA428" s="95"/>
    </row>
    <row r="429" ht="30.75" customHeight="1">
      <c r="A429" s="93"/>
      <c r="B429" s="94" t="s">
        <v>82</v>
      </c>
      <c r="C429" s="94" t="s">
        <v>83</v>
      </c>
      <c r="D429" s="94">
        <v>87.0</v>
      </c>
      <c r="E429" s="93" t="s">
        <v>84</v>
      </c>
      <c r="F429" s="93" t="s">
        <v>98</v>
      </c>
      <c r="G429" s="93" t="s">
        <v>86</v>
      </c>
      <c r="H429" s="93" t="s">
        <v>1545</v>
      </c>
      <c r="I429" s="93" t="s">
        <v>88</v>
      </c>
      <c r="J429" s="93" t="s">
        <v>1546</v>
      </c>
      <c r="K429" s="93" t="s">
        <v>469</v>
      </c>
      <c r="L429" s="93" t="s">
        <v>490</v>
      </c>
      <c r="M429" s="93" t="s">
        <v>98</v>
      </c>
      <c r="N429" s="93" t="s">
        <v>98</v>
      </c>
      <c r="O429" s="93" t="s">
        <v>94</v>
      </c>
      <c r="P429" s="93">
        <v>12.0</v>
      </c>
      <c r="Q429" s="93">
        <v>1.0</v>
      </c>
      <c r="R429" s="93"/>
      <c r="S429" s="93"/>
      <c r="T429" s="93"/>
      <c r="U429" s="93"/>
      <c r="V429" s="93">
        <v>1.0</v>
      </c>
      <c r="W429" s="93">
        <v>1.0</v>
      </c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 t="str">
        <f t="shared" si="138"/>
        <v>#REF!</v>
      </c>
      <c r="AQ429" s="95">
        <v>45012.0</v>
      </c>
      <c r="AR429" s="95">
        <v>45012.0</v>
      </c>
      <c r="AS429" s="95">
        <f t="shared" si="139"/>
        <v>45378</v>
      </c>
      <c r="AT429" s="93" t="s">
        <v>1547</v>
      </c>
      <c r="AU429" s="93" t="s">
        <v>1548</v>
      </c>
      <c r="AV429" s="93" t="s">
        <v>508</v>
      </c>
      <c r="AW429" s="93" t="s">
        <v>1549</v>
      </c>
      <c r="AX429" s="95" t="s">
        <v>99</v>
      </c>
      <c r="AY429" s="93" t="str">
        <f t="shared" si="140"/>
        <v>#REF!</v>
      </c>
      <c r="AZ429" s="95">
        <f t="shared" si="141"/>
        <v>46171</v>
      </c>
      <c r="BA429" s="95"/>
    </row>
    <row r="430" ht="30.75" customHeight="1">
      <c r="A430" s="93"/>
      <c r="B430" s="94" t="s">
        <v>82</v>
      </c>
      <c r="C430" s="94" t="s">
        <v>83</v>
      </c>
      <c r="D430" s="93">
        <v>88.0</v>
      </c>
      <c r="E430" s="93" t="s">
        <v>84</v>
      </c>
      <c r="F430" s="93" t="s">
        <v>98</v>
      </c>
      <c r="G430" s="93" t="s">
        <v>86</v>
      </c>
      <c r="H430" s="93" t="s">
        <v>1550</v>
      </c>
      <c r="I430" s="93" t="s">
        <v>88</v>
      </c>
      <c r="J430" s="93" t="s">
        <v>1551</v>
      </c>
      <c r="K430" s="93" t="s">
        <v>469</v>
      </c>
      <c r="L430" s="93" t="s">
        <v>490</v>
      </c>
      <c r="M430" s="93" t="s">
        <v>98</v>
      </c>
      <c r="N430" s="93" t="s">
        <v>98</v>
      </c>
      <c r="O430" s="93" t="s">
        <v>94</v>
      </c>
      <c r="P430" s="93">
        <v>12.0</v>
      </c>
      <c r="Q430" s="93" t="s">
        <v>98</v>
      </c>
      <c r="R430" s="93" t="s">
        <v>98</v>
      </c>
      <c r="S430" s="93" t="s">
        <v>98</v>
      </c>
      <c r="T430" s="93" t="s">
        <v>98</v>
      </c>
      <c r="U430" s="93" t="s">
        <v>98</v>
      </c>
      <c r="V430" s="93" t="s">
        <v>98</v>
      </c>
      <c r="W430" s="93" t="s">
        <v>98</v>
      </c>
      <c r="X430" s="93" t="s">
        <v>98</v>
      </c>
      <c r="Y430" s="93" t="s">
        <v>98</v>
      </c>
      <c r="Z430" s="93" t="s">
        <v>98</v>
      </c>
      <c r="AA430" s="93" t="s">
        <v>98</v>
      </c>
      <c r="AB430" s="93" t="s">
        <v>98</v>
      </c>
      <c r="AC430" s="93" t="s">
        <v>98</v>
      </c>
      <c r="AD430" s="93" t="s">
        <v>98</v>
      </c>
      <c r="AE430" s="93" t="s">
        <v>98</v>
      </c>
      <c r="AF430" s="93" t="s">
        <v>98</v>
      </c>
      <c r="AG430" s="93" t="s">
        <v>98</v>
      </c>
      <c r="AH430" s="93" t="s">
        <v>98</v>
      </c>
      <c r="AI430" s="93" t="s">
        <v>98</v>
      </c>
      <c r="AJ430" s="93" t="s">
        <v>98</v>
      </c>
      <c r="AK430" s="93" t="s">
        <v>98</v>
      </c>
      <c r="AL430" s="93" t="s">
        <v>98</v>
      </c>
      <c r="AM430" s="93" t="s">
        <v>98</v>
      </c>
      <c r="AN430" s="93" t="s">
        <v>98</v>
      </c>
      <c r="AO430" s="93" t="s">
        <v>98</v>
      </c>
      <c r="AP430" s="93" t="str">
        <f t="shared" si="138"/>
        <v>#REF!</v>
      </c>
      <c r="AQ430" s="95" t="s">
        <v>98</v>
      </c>
      <c r="AR430" s="95" t="s">
        <v>98</v>
      </c>
      <c r="AS430" s="95" t="str">
        <f t="shared" si="139"/>
        <v>#VALUE!</v>
      </c>
      <c r="AT430" s="95" t="s">
        <v>98</v>
      </c>
      <c r="AU430" s="95" t="s">
        <v>98</v>
      </c>
      <c r="AV430" s="95" t="s">
        <v>98</v>
      </c>
      <c r="AW430" s="95" t="s">
        <v>98</v>
      </c>
      <c r="AX430" s="93" t="s">
        <v>472</v>
      </c>
      <c r="AY430" s="93" t="str">
        <f t="shared" si="140"/>
        <v>#REF!</v>
      </c>
      <c r="AZ430" s="95">
        <f t="shared" si="141"/>
        <v>46171</v>
      </c>
      <c r="BA430" s="95"/>
    </row>
    <row r="431" ht="30.75" customHeight="1">
      <c r="A431" s="93"/>
      <c r="B431" s="94" t="s">
        <v>82</v>
      </c>
      <c r="C431" s="94" t="s">
        <v>83</v>
      </c>
      <c r="D431" s="94">
        <v>89.0</v>
      </c>
      <c r="E431" s="93" t="s">
        <v>84</v>
      </c>
      <c r="F431" s="93" t="s">
        <v>1215</v>
      </c>
      <c r="G431" s="93" t="s">
        <v>161</v>
      </c>
      <c r="H431" s="93" t="s">
        <v>1552</v>
      </c>
      <c r="I431" s="93" t="s">
        <v>88</v>
      </c>
      <c r="J431" s="93" t="s">
        <v>1553</v>
      </c>
      <c r="K431" s="93" t="s">
        <v>93</v>
      </c>
      <c r="L431" s="93" t="s">
        <v>1554</v>
      </c>
      <c r="M431" s="93">
        <v>809034.0</v>
      </c>
      <c r="N431" s="93" t="s">
        <v>93</v>
      </c>
      <c r="O431" s="93" t="s">
        <v>753</v>
      </c>
      <c r="P431" s="93">
        <v>12.0</v>
      </c>
      <c r="Q431" s="93" t="s">
        <v>98</v>
      </c>
      <c r="R431" s="93" t="s">
        <v>98</v>
      </c>
      <c r="S431" s="93" t="s">
        <v>98</v>
      </c>
      <c r="T431" s="93" t="s">
        <v>98</v>
      </c>
      <c r="U431" s="93" t="s">
        <v>98</v>
      </c>
      <c r="V431" s="93" t="s">
        <v>98</v>
      </c>
      <c r="W431" s="93" t="s">
        <v>98</v>
      </c>
      <c r="X431" s="93" t="s">
        <v>98</v>
      </c>
      <c r="Y431" s="93" t="s">
        <v>98</v>
      </c>
      <c r="Z431" s="93" t="s">
        <v>98</v>
      </c>
      <c r="AA431" s="93" t="s">
        <v>98</v>
      </c>
      <c r="AB431" s="93" t="s">
        <v>98</v>
      </c>
      <c r="AC431" s="93" t="s">
        <v>98</v>
      </c>
      <c r="AD431" s="93" t="s">
        <v>98</v>
      </c>
      <c r="AE431" s="93" t="s">
        <v>98</v>
      </c>
      <c r="AF431" s="93" t="s">
        <v>98</v>
      </c>
      <c r="AG431" s="93" t="s">
        <v>98</v>
      </c>
      <c r="AH431" s="93" t="s">
        <v>98</v>
      </c>
      <c r="AI431" s="93" t="s">
        <v>98</v>
      </c>
      <c r="AJ431" s="93" t="s">
        <v>98</v>
      </c>
      <c r="AK431" s="93" t="s">
        <v>98</v>
      </c>
      <c r="AL431" s="93" t="s">
        <v>98</v>
      </c>
      <c r="AM431" s="93" t="s">
        <v>98</v>
      </c>
      <c r="AN431" s="93" t="s">
        <v>98</v>
      </c>
      <c r="AO431" s="93" t="s">
        <v>98</v>
      </c>
      <c r="AP431" s="93" t="str">
        <f t="shared" si="138"/>
        <v>#REF!</v>
      </c>
      <c r="AQ431" s="95" t="s">
        <v>98</v>
      </c>
      <c r="AR431" s="95" t="s">
        <v>98</v>
      </c>
      <c r="AS431" s="95" t="str">
        <f t="shared" si="139"/>
        <v>#VALUE!</v>
      </c>
      <c r="AT431" s="95" t="s">
        <v>98</v>
      </c>
      <c r="AU431" s="95" t="s">
        <v>98</v>
      </c>
      <c r="AV431" s="95" t="s">
        <v>98</v>
      </c>
      <c r="AW431" s="95" t="s">
        <v>98</v>
      </c>
      <c r="AX431" s="93" t="s">
        <v>472</v>
      </c>
      <c r="AY431" s="93" t="str">
        <f t="shared" si="140"/>
        <v>#REF!</v>
      </c>
      <c r="AZ431" s="95">
        <f t="shared" si="141"/>
        <v>46171</v>
      </c>
      <c r="BA431" s="95"/>
    </row>
    <row r="432" ht="30.75" customHeight="1">
      <c r="A432" s="93" t="s">
        <v>106</v>
      </c>
      <c r="B432" s="94" t="s">
        <v>82</v>
      </c>
      <c r="C432" s="94" t="s">
        <v>83</v>
      </c>
      <c r="D432" s="93"/>
      <c r="E432" s="93" t="s">
        <v>116</v>
      </c>
      <c r="F432" s="93"/>
      <c r="G432" s="93" t="s">
        <v>86</v>
      </c>
      <c r="H432" s="113"/>
      <c r="I432" s="93"/>
      <c r="J432" s="93" t="s">
        <v>1555</v>
      </c>
      <c r="K432" s="93"/>
      <c r="L432" s="93"/>
      <c r="M432" s="102">
        <v>10190.0</v>
      </c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5"/>
      <c r="AR432" s="95"/>
      <c r="AS432" s="95"/>
      <c r="AT432" s="93"/>
      <c r="AU432" s="93"/>
      <c r="AV432" s="93"/>
      <c r="AW432" s="93"/>
      <c r="AX432" s="95"/>
      <c r="AY432" s="93"/>
      <c r="AZ432" s="95"/>
      <c r="BA432" s="95"/>
    </row>
    <row r="433" ht="30.75" customHeight="1">
      <c r="A433" s="93" t="s">
        <v>106</v>
      </c>
      <c r="B433" s="94" t="s">
        <v>82</v>
      </c>
      <c r="C433" s="94" t="s">
        <v>83</v>
      </c>
      <c r="D433" s="93"/>
      <c r="E433" s="93" t="s">
        <v>116</v>
      </c>
      <c r="F433" s="93"/>
      <c r="G433" s="93" t="s">
        <v>86</v>
      </c>
      <c r="H433" s="113"/>
      <c r="I433" s="93"/>
      <c r="J433" s="93" t="s">
        <v>1556</v>
      </c>
      <c r="K433" s="93" t="s">
        <v>1557</v>
      </c>
      <c r="L433" s="93"/>
      <c r="M433" s="102" t="s">
        <v>1558</v>
      </c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5"/>
      <c r="AR433" s="95"/>
      <c r="AS433" s="95"/>
      <c r="AT433" s="93"/>
      <c r="AU433" s="93"/>
      <c r="AV433" s="93"/>
      <c r="AW433" s="93"/>
      <c r="AX433" s="95"/>
      <c r="AY433" s="93"/>
      <c r="AZ433" s="95"/>
      <c r="BA433" s="95"/>
    </row>
    <row r="434" ht="30.75" customHeight="1">
      <c r="A434" s="93" t="s">
        <v>106</v>
      </c>
      <c r="B434" s="94" t="s">
        <v>82</v>
      </c>
      <c r="C434" s="94" t="s">
        <v>83</v>
      </c>
      <c r="D434" s="93"/>
      <c r="E434" s="93" t="s">
        <v>116</v>
      </c>
      <c r="F434" s="93"/>
      <c r="G434" s="93" t="s">
        <v>86</v>
      </c>
      <c r="H434" s="113"/>
      <c r="I434" s="93"/>
      <c r="J434" s="93" t="s">
        <v>1559</v>
      </c>
      <c r="K434" s="93" t="s">
        <v>1557</v>
      </c>
      <c r="L434" s="93"/>
      <c r="M434" s="102" t="s">
        <v>1560</v>
      </c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5"/>
      <c r="AR434" s="95"/>
      <c r="AS434" s="95"/>
      <c r="AT434" s="93"/>
      <c r="AU434" s="93"/>
      <c r="AV434" s="93"/>
      <c r="AW434" s="93"/>
      <c r="AX434" s="95"/>
      <c r="AY434" s="93"/>
      <c r="AZ434" s="95"/>
      <c r="BA434" s="95"/>
    </row>
    <row r="435" ht="30.75" customHeight="1">
      <c r="A435" s="93"/>
      <c r="B435" s="94" t="s">
        <v>82</v>
      </c>
      <c r="C435" s="94" t="s">
        <v>83</v>
      </c>
      <c r="D435" s="93">
        <v>90.0</v>
      </c>
      <c r="E435" s="93" t="s">
        <v>84</v>
      </c>
      <c r="F435" s="93" t="s">
        <v>1561</v>
      </c>
      <c r="G435" s="93" t="s">
        <v>86</v>
      </c>
      <c r="H435" s="93" t="s">
        <v>1562</v>
      </c>
      <c r="I435" s="93" t="s">
        <v>88</v>
      </c>
      <c r="J435" s="93" t="s">
        <v>1563</v>
      </c>
      <c r="K435" s="93" t="s">
        <v>1564</v>
      </c>
      <c r="L435" s="93" t="s">
        <v>1565</v>
      </c>
      <c r="M435" s="93">
        <v>3.2661049E7</v>
      </c>
      <c r="N435" s="93" t="s">
        <v>1564</v>
      </c>
      <c r="O435" s="93" t="s">
        <v>94</v>
      </c>
      <c r="P435" s="93">
        <v>12.0</v>
      </c>
      <c r="Q435" s="93">
        <v>1.0</v>
      </c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>
        <v>1.0</v>
      </c>
      <c r="AC435" s="93">
        <v>1.0</v>
      </c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 t="str">
        <f t="shared" ref="AP435:AP439" si="142">#REF!</f>
        <v>#REF!</v>
      </c>
      <c r="AQ435" s="95" t="s">
        <v>95</v>
      </c>
      <c r="AR435" s="95" t="s">
        <v>95</v>
      </c>
      <c r="AS435" s="95" t="s">
        <v>96</v>
      </c>
      <c r="AT435" s="96" t="s">
        <v>1566</v>
      </c>
      <c r="AU435" s="93" t="s">
        <v>1567</v>
      </c>
      <c r="AV435" s="93" t="s">
        <v>1568</v>
      </c>
      <c r="AW435" s="93" t="s">
        <v>1569</v>
      </c>
      <c r="AX435" s="95" t="s">
        <v>99</v>
      </c>
      <c r="AY435" s="93" t="str">
        <f t="shared" ref="AY435:AY449" si="143">#REF!</f>
        <v>#REF!</v>
      </c>
      <c r="AZ435" s="95">
        <f t="shared" ref="AZ435:AZ449" si="144">TODAY()</f>
        <v>46171</v>
      </c>
      <c r="BA435" s="95"/>
    </row>
    <row r="436" ht="30.75" customHeight="1">
      <c r="A436" s="93"/>
      <c r="B436" s="94" t="s">
        <v>82</v>
      </c>
      <c r="C436" s="94" t="s">
        <v>83</v>
      </c>
      <c r="D436" s="94">
        <v>91.0</v>
      </c>
      <c r="E436" s="93" t="s">
        <v>84</v>
      </c>
      <c r="F436" s="93" t="s">
        <v>1570</v>
      </c>
      <c r="G436" s="93" t="s">
        <v>86</v>
      </c>
      <c r="H436" s="93" t="s">
        <v>1571</v>
      </c>
      <c r="I436" s="93" t="s">
        <v>88</v>
      </c>
      <c r="J436" s="93" t="s">
        <v>1572</v>
      </c>
      <c r="K436" s="93" t="s">
        <v>1564</v>
      </c>
      <c r="L436" s="93" t="s">
        <v>1565</v>
      </c>
      <c r="M436" s="93">
        <v>3.2661069E7</v>
      </c>
      <c r="N436" s="93" t="s">
        <v>1564</v>
      </c>
      <c r="O436" s="93" t="s">
        <v>94</v>
      </c>
      <c r="P436" s="93">
        <v>12.0</v>
      </c>
      <c r="Q436" s="93">
        <v>1.0</v>
      </c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>
        <v>1.0</v>
      </c>
      <c r="AC436" s="93">
        <v>1.0</v>
      </c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 t="str">
        <f t="shared" si="142"/>
        <v>#REF!</v>
      </c>
      <c r="AQ436" s="95" t="s">
        <v>95</v>
      </c>
      <c r="AR436" s="95" t="s">
        <v>95</v>
      </c>
      <c r="AS436" s="95" t="s">
        <v>96</v>
      </c>
      <c r="AT436" s="96" t="s">
        <v>1573</v>
      </c>
      <c r="AU436" s="93" t="s">
        <v>1574</v>
      </c>
      <c r="AV436" s="93" t="s">
        <v>1568</v>
      </c>
      <c r="AW436" s="93" t="s">
        <v>1575</v>
      </c>
      <c r="AX436" s="95" t="s">
        <v>99</v>
      </c>
      <c r="AY436" s="93" t="str">
        <f t="shared" si="143"/>
        <v>#REF!</v>
      </c>
      <c r="AZ436" s="95">
        <f t="shared" si="144"/>
        <v>46171</v>
      </c>
      <c r="BA436" s="95"/>
    </row>
    <row r="437" ht="30.75" customHeight="1">
      <c r="A437" s="93"/>
      <c r="B437" s="94" t="s">
        <v>82</v>
      </c>
      <c r="C437" s="94" t="s">
        <v>83</v>
      </c>
      <c r="D437" s="93">
        <v>92.0</v>
      </c>
      <c r="E437" s="93" t="s">
        <v>84</v>
      </c>
      <c r="F437" s="93" t="s">
        <v>1576</v>
      </c>
      <c r="G437" s="93" t="s">
        <v>86</v>
      </c>
      <c r="H437" s="93" t="s">
        <v>1577</v>
      </c>
      <c r="I437" s="93" t="s">
        <v>88</v>
      </c>
      <c r="J437" s="93" t="s">
        <v>1578</v>
      </c>
      <c r="K437" s="93" t="s">
        <v>1564</v>
      </c>
      <c r="L437" s="93" t="s">
        <v>1565</v>
      </c>
      <c r="M437" s="93">
        <v>3.2661069E7</v>
      </c>
      <c r="N437" s="93" t="s">
        <v>1564</v>
      </c>
      <c r="O437" s="93" t="s">
        <v>94</v>
      </c>
      <c r="P437" s="93">
        <v>12.0</v>
      </c>
      <c r="Q437" s="93" t="s">
        <v>98</v>
      </c>
      <c r="R437" s="93" t="s">
        <v>98</v>
      </c>
      <c r="S437" s="93" t="s">
        <v>98</v>
      </c>
      <c r="T437" s="93" t="s">
        <v>98</v>
      </c>
      <c r="U437" s="93" t="s">
        <v>98</v>
      </c>
      <c r="V437" s="93" t="s">
        <v>98</v>
      </c>
      <c r="W437" s="93" t="s">
        <v>98</v>
      </c>
      <c r="X437" s="93" t="s">
        <v>98</v>
      </c>
      <c r="Y437" s="93" t="s">
        <v>98</v>
      </c>
      <c r="Z437" s="93" t="s">
        <v>98</v>
      </c>
      <c r="AA437" s="93" t="s">
        <v>98</v>
      </c>
      <c r="AB437" s="93" t="s">
        <v>98</v>
      </c>
      <c r="AC437" s="93" t="s">
        <v>98</v>
      </c>
      <c r="AD437" s="93" t="s">
        <v>98</v>
      </c>
      <c r="AE437" s="93" t="s">
        <v>98</v>
      </c>
      <c r="AF437" s="93" t="s">
        <v>98</v>
      </c>
      <c r="AG437" s="93" t="s">
        <v>98</v>
      </c>
      <c r="AH437" s="93" t="s">
        <v>98</v>
      </c>
      <c r="AI437" s="93" t="s">
        <v>98</v>
      </c>
      <c r="AJ437" s="93" t="s">
        <v>98</v>
      </c>
      <c r="AK437" s="93" t="s">
        <v>98</v>
      </c>
      <c r="AL437" s="93" t="s">
        <v>98</v>
      </c>
      <c r="AM437" s="93" t="s">
        <v>98</v>
      </c>
      <c r="AN437" s="93" t="s">
        <v>98</v>
      </c>
      <c r="AO437" s="93" t="s">
        <v>98</v>
      </c>
      <c r="AP437" s="93" t="str">
        <f t="shared" si="142"/>
        <v>#REF!</v>
      </c>
      <c r="AQ437" s="93" t="s">
        <v>98</v>
      </c>
      <c r="AR437" s="93" t="s">
        <v>98</v>
      </c>
      <c r="AS437" s="95" t="str">
        <f t="shared" ref="AS437:AS439" si="145">DATE(YEAR(AQ437),MONTH(AQ437)+P437,DAY(AQ437))</f>
        <v>#VALUE!</v>
      </c>
      <c r="AT437" s="93" t="s">
        <v>98</v>
      </c>
      <c r="AU437" s="93" t="s">
        <v>98</v>
      </c>
      <c r="AV437" s="93" t="s">
        <v>98</v>
      </c>
      <c r="AW437" s="93" t="s">
        <v>98</v>
      </c>
      <c r="AX437" s="93" t="s">
        <v>113</v>
      </c>
      <c r="AY437" s="93" t="str">
        <f t="shared" si="143"/>
        <v>#REF!</v>
      </c>
      <c r="AZ437" s="95">
        <f t="shared" si="144"/>
        <v>46171</v>
      </c>
      <c r="BA437" s="95"/>
    </row>
    <row r="438" ht="30.75" customHeight="1">
      <c r="A438" s="97" t="s">
        <v>114</v>
      </c>
      <c r="B438" s="99"/>
      <c r="C438" s="99" t="s">
        <v>83</v>
      </c>
      <c r="D438" s="97">
        <v>64.0</v>
      </c>
      <c r="E438" s="100" t="s">
        <v>108</v>
      </c>
      <c r="F438" s="97" t="s">
        <v>98</v>
      </c>
      <c r="G438" s="97" t="s">
        <v>161</v>
      </c>
      <c r="H438" s="97" t="s">
        <v>98</v>
      </c>
      <c r="I438" s="97" t="s">
        <v>88</v>
      </c>
      <c r="J438" s="97" t="s">
        <v>1579</v>
      </c>
      <c r="K438" s="97" t="s">
        <v>1580</v>
      </c>
      <c r="L438" s="97" t="s">
        <v>1581</v>
      </c>
      <c r="M438" s="97" t="s">
        <v>1582</v>
      </c>
      <c r="N438" s="97"/>
      <c r="O438" s="97" t="s">
        <v>753</v>
      </c>
      <c r="P438" s="100" t="s">
        <v>98</v>
      </c>
      <c r="Q438" s="100" t="s">
        <v>98</v>
      </c>
      <c r="R438" s="97" t="s">
        <v>98</v>
      </c>
      <c r="S438" s="97" t="s">
        <v>98</v>
      </c>
      <c r="T438" s="97" t="s">
        <v>98</v>
      </c>
      <c r="U438" s="97" t="s">
        <v>98</v>
      </c>
      <c r="V438" s="97" t="s">
        <v>98</v>
      </c>
      <c r="W438" s="97" t="s">
        <v>98</v>
      </c>
      <c r="X438" s="97" t="s">
        <v>98</v>
      </c>
      <c r="Y438" s="97" t="s">
        <v>98</v>
      </c>
      <c r="Z438" s="97" t="s">
        <v>98</v>
      </c>
      <c r="AA438" s="97" t="s">
        <v>98</v>
      </c>
      <c r="AB438" s="97" t="s">
        <v>98</v>
      </c>
      <c r="AC438" s="97" t="s">
        <v>98</v>
      </c>
      <c r="AD438" s="97" t="s">
        <v>98</v>
      </c>
      <c r="AE438" s="97" t="s">
        <v>98</v>
      </c>
      <c r="AF438" s="97" t="s">
        <v>98</v>
      </c>
      <c r="AG438" s="97" t="s">
        <v>98</v>
      </c>
      <c r="AH438" s="97" t="s">
        <v>98</v>
      </c>
      <c r="AI438" s="97" t="s">
        <v>98</v>
      </c>
      <c r="AJ438" s="97" t="s">
        <v>98</v>
      </c>
      <c r="AK438" s="97" t="s">
        <v>98</v>
      </c>
      <c r="AL438" s="97" t="s">
        <v>98</v>
      </c>
      <c r="AM438" s="97" t="s">
        <v>98</v>
      </c>
      <c r="AN438" s="97" t="s">
        <v>98</v>
      </c>
      <c r="AO438" s="97" t="s">
        <v>98</v>
      </c>
      <c r="AP438" s="97" t="str">
        <f t="shared" si="142"/>
        <v>#REF!</v>
      </c>
      <c r="AQ438" s="97" t="s">
        <v>98</v>
      </c>
      <c r="AR438" s="97" t="s">
        <v>98</v>
      </c>
      <c r="AS438" s="101" t="str">
        <f t="shared" si="145"/>
        <v>#VALUE!</v>
      </c>
      <c r="AT438" s="97" t="s">
        <v>98</v>
      </c>
      <c r="AU438" s="97" t="s">
        <v>98</v>
      </c>
      <c r="AV438" s="97" t="s">
        <v>98</v>
      </c>
      <c r="AW438" s="97" t="s">
        <v>98</v>
      </c>
      <c r="AX438" s="97" t="s">
        <v>113</v>
      </c>
      <c r="AY438" s="97" t="str">
        <f t="shared" si="143"/>
        <v>#REF!</v>
      </c>
      <c r="AZ438" s="101">
        <f t="shared" si="144"/>
        <v>46171</v>
      </c>
      <c r="BA438" s="101"/>
    </row>
    <row r="439" ht="30.75" customHeight="1">
      <c r="A439" s="97" t="s">
        <v>114</v>
      </c>
      <c r="B439" s="99"/>
      <c r="C439" s="99" t="s">
        <v>83</v>
      </c>
      <c r="D439" s="97">
        <v>65.0</v>
      </c>
      <c r="E439" s="100" t="s">
        <v>108</v>
      </c>
      <c r="F439" s="97" t="s">
        <v>98</v>
      </c>
      <c r="G439" s="97" t="s">
        <v>161</v>
      </c>
      <c r="H439" s="97" t="s">
        <v>98</v>
      </c>
      <c r="I439" s="97" t="s">
        <v>88</v>
      </c>
      <c r="J439" s="97" t="s">
        <v>1579</v>
      </c>
      <c r="K439" s="97" t="s">
        <v>1580</v>
      </c>
      <c r="L439" s="97" t="s">
        <v>1581</v>
      </c>
      <c r="M439" s="97" t="s">
        <v>1583</v>
      </c>
      <c r="N439" s="97"/>
      <c r="O439" s="97" t="s">
        <v>753</v>
      </c>
      <c r="P439" s="100" t="s">
        <v>98</v>
      </c>
      <c r="Q439" s="100" t="s">
        <v>98</v>
      </c>
      <c r="R439" s="97" t="s">
        <v>98</v>
      </c>
      <c r="S439" s="97" t="s">
        <v>98</v>
      </c>
      <c r="T439" s="97" t="s">
        <v>98</v>
      </c>
      <c r="U439" s="97" t="s">
        <v>98</v>
      </c>
      <c r="V439" s="97" t="s">
        <v>98</v>
      </c>
      <c r="W439" s="97" t="s">
        <v>98</v>
      </c>
      <c r="X439" s="97" t="s">
        <v>98</v>
      </c>
      <c r="Y439" s="97" t="s">
        <v>98</v>
      </c>
      <c r="Z439" s="97" t="s">
        <v>98</v>
      </c>
      <c r="AA439" s="97" t="s">
        <v>98</v>
      </c>
      <c r="AB439" s="97" t="s">
        <v>98</v>
      </c>
      <c r="AC439" s="97" t="s">
        <v>98</v>
      </c>
      <c r="AD439" s="97" t="s">
        <v>98</v>
      </c>
      <c r="AE439" s="97" t="s">
        <v>98</v>
      </c>
      <c r="AF439" s="97" t="s">
        <v>98</v>
      </c>
      <c r="AG439" s="97" t="s">
        <v>98</v>
      </c>
      <c r="AH439" s="97" t="s">
        <v>98</v>
      </c>
      <c r="AI439" s="97" t="s">
        <v>98</v>
      </c>
      <c r="AJ439" s="97" t="s">
        <v>98</v>
      </c>
      <c r="AK439" s="97" t="s">
        <v>98</v>
      </c>
      <c r="AL439" s="97" t="s">
        <v>98</v>
      </c>
      <c r="AM439" s="97" t="s">
        <v>98</v>
      </c>
      <c r="AN439" s="97" t="s">
        <v>98</v>
      </c>
      <c r="AO439" s="97" t="s">
        <v>98</v>
      </c>
      <c r="AP439" s="97" t="str">
        <f t="shared" si="142"/>
        <v>#REF!</v>
      </c>
      <c r="AQ439" s="97" t="s">
        <v>98</v>
      </c>
      <c r="AR439" s="97" t="s">
        <v>98</v>
      </c>
      <c r="AS439" s="101" t="str">
        <f t="shared" si="145"/>
        <v>#VALUE!</v>
      </c>
      <c r="AT439" s="97" t="s">
        <v>98</v>
      </c>
      <c r="AU439" s="97" t="s">
        <v>98</v>
      </c>
      <c r="AV439" s="97" t="s">
        <v>98</v>
      </c>
      <c r="AW439" s="97" t="s">
        <v>98</v>
      </c>
      <c r="AX439" s="97" t="s">
        <v>113</v>
      </c>
      <c r="AY439" s="97" t="str">
        <f t="shared" si="143"/>
        <v>#REF!</v>
      </c>
      <c r="AZ439" s="101">
        <f t="shared" si="144"/>
        <v>46171</v>
      </c>
      <c r="BA439" s="101"/>
    </row>
    <row r="440" ht="30.75" customHeight="1">
      <c r="A440" s="93" t="s">
        <v>81</v>
      </c>
      <c r="B440" s="94" t="s">
        <v>107</v>
      </c>
      <c r="C440" s="111" t="s">
        <v>206</v>
      </c>
      <c r="D440" s="93">
        <v>1.0</v>
      </c>
      <c r="E440" s="111" t="s">
        <v>108</v>
      </c>
      <c r="F440" s="93" t="s">
        <v>98</v>
      </c>
      <c r="G440" s="93" t="s">
        <v>86</v>
      </c>
      <c r="H440" s="93" t="s">
        <v>1584</v>
      </c>
      <c r="I440" s="93" t="s">
        <v>118</v>
      </c>
      <c r="J440" s="93" t="s">
        <v>1585</v>
      </c>
      <c r="K440" s="93" t="s">
        <v>1586</v>
      </c>
      <c r="L440" s="93" t="s">
        <v>1587</v>
      </c>
      <c r="M440" s="93" t="s">
        <v>1588</v>
      </c>
      <c r="N440" s="93" t="s">
        <v>1589</v>
      </c>
      <c r="O440" s="93" t="s">
        <v>124</v>
      </c>
      <c r="P440" s="111">
        <v>1.0</v>
      </c>
      <c r="Q440" s="111">
        <v>1.0</v>
      </c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>
        <v>1.0</v>
      </c>
      <c r="AC440" s="93">
        <v>1.0</v>
      </c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5">
        <v>45078.0</v>
      </c>
      <c r="AR440" s="95">
        <v>44932.0</v>
      </c>
      <c r="AS440" s="95">
        <f t="shared" ref="AS440:AS445" si="146">DATE(YEAR(AQ440),MONTH(AQ440)+6,DAY(AQ440))</f>
        <v>45261</v>
      </c>
      <c r="AT440" s="93"/>
      <c r="AU440" s="103"/>
      <c r="AV440" s="93" t="s">
        <v>98</v>
      </c>
      <c r="AW440" s="103"/>
      <c r="AX440" s="93" t="s">
        <v>99</v>
      </c>
      <c r="AY440" s="93" t="str">
        <f t="shared" si="143"/>
        <v>#REF!</v>
      </c>
      <c r="AZ440" s="95">
        <f t="shared" si="144"/>
        <v>46171</v>
      </c>
      <c r="BA440" s="93"/>
    </row>
    <row r="441" ht="30.75" customHeight="1">
      <c r="A441" s="93" t="s">
        <v>81</v>
      </c>
      <c r="B441" s="94" t="s">
        <v>107</v>
      </c>
      <c r="C441" s="111" t="s">
        <v>206</v>
      </c>
      <c r="D441" s="93">
        <v>2.0</v>
      </c>
      <c r="E441" s="111" t="s">
        <v>108</v>
      </c>
      <c r="F441" s="93" t="s">
        <v>98</v>
      </c>
      <c r="G441" s="93" t="s">
        <v>86</v>
      </c>
      <c r="H441" s="93" t="s">
        <v>1590</v>
      </c>
      <c r="I441" s="93" t="s">
        <v>118</v>
      </c>
      <c r="J441" s="93" t="s">
        <v>1591</v>
      </c>
      <c r="K441" s="93" t="s">
        <v>1586</v>
      </c>
      <c r="L441" s="93" t="s">
        <v>1592</v>
      </c>
      <c r="M441" s="93" t="s">
        <v>1593</v>
      </c>
      <c r="N441" s="93" t="s">
        <v>1589</v>
      </c>
      <c r="O441" s="93" t="s">
        <v>124</v>
      </c>
      <c r="P441" s="111">
        <v>2.0</v>
      </c>
      <c r="Q441" s="111">
        <v>2.0</v>
      </c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>
        <v>1.0</v>
      </c>
      <c r="AC441" s="93">
        <v>1.0</v>
      </c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>
        <v>1.0</v>
      </c>
      <c r="AO441" s="93">
        <v>1.0</v>
      </c>
      <c r="AP441" s="93"/>
      <c r="AQ441" s="95">
        <v>45078.0</v>
      </c>
      <c r="AR441" s="95">
        <v>44932.0</v>
      </c>
      <c r="AS441" s="95">
        <f t="shared" si="146"/>
        <v>45261</v>
      </c>
      <c r="AT441" s="93"/>
      <c r="AU441" s="103"/>
      <c r="AV441" s="93" t="s">
        <v>98</v>
      </c>
      <c r="AW441" s="103"/>
      <c r="AX441" s="93" t="s">
        <v>99</v>
      </c>
      <c r="AY441" s="93" t="str">
        <f t="shared" si="143"/>
        <v>#REF!</v>
      </c>
      <c r="AZ441" s="95">
        <f t="shared" si="144"/>
        <v>46171</v>
      </c>
      <c r="BA441" s="93"/>
    </row>
    <row r="442" ht="30.75" customHeight="1">
      <c r="A442" s="93" t="s">
        <v>81</v>
      </c>
      <c r="B442" s="94" t="s">
        <v>107</v>
      </c>
      <c r="C442" s="111" t="s">
        <v>206</v>
      </c>
      <c r="D442" s="93">
        <v>3.0</v>
      </c>
      <c r="E442" s="111" t="s">
        <v>108</v>
      </c>
      <c r="F442" s="93" t="s">
        <v>98</v>
      </c>
      <c r="G442" s="93" t="s">
        <v>86</v>
      </c>
      <c r="H442" s="93" t="s">
        <v>1594</v>
      </c>
      <c r="I442" s="93" t="s">
        <v>118</v>
      </c>
      <c r="J442" s="93" t="s">
        <v>1591</v>
      </c>
      <c r="K442" s="93" t="s">
        <v>1586</v>
      </c>
      <c r="L442" s="93" t="s">
        <v>1592</v>
      </c>
      <c r="M442" s="93" t="s">
        <v>1595</v>
      </c>
      <c r="N442" s="93" t="s">
        <v>1589</v>
      </c>
      <c r="O442" s="93" t="s">
        <v>124</v>
      </c>
      <c r="P442" s="111">
        <v>2.0</v>
      </c>
      <c r="Q442" s="111">
        <v>2.0</v>
      </c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>
        <v>1.0</v>
      </c>
      <c r="AC442" s="93">
        <v>1.0</v>
      </c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>
        <v>1.0</v>
      </c>
      <c r="AO442" s="93">
        <v>1.0</v>
      </c>
      <c r="AP442" s="93"/>
      <c r="AQ442" s="95">
        <v>45078.0</v>
      </c>
      <c r="AR442" s="95">
        <v>44932.0</v>
      </c>
      <c r="AS442" s="95">
        <f t="shared" si="146"/>
        <v>45261</v>
      </c>
      <c r="AT442" s="93"/>
      <c r="AU442" s="103"/>
      <c r="AV442" s="93" t="s">
        <v>98</v>
      </c>
      <c r="AW442" s="103"/>
      <c r="AX442" s="93" t="s">
        <v>99</v>
      </c>
      <c r="AY442" s="93" t="str">
        <f t="shared" si="143"/>
        <v>#REF!</v>
      </c>
      <c r="AZ442" s="95">
        <f t="shared" si="144"/>
        <v>46171</v>
      </c>
      <c r="BA442" s="93"/>
    </row>
    <row r="443" ht="30.75" customHeight="1">
      <c r="A443" s="93" t="s">
        <v>81</v>
      </c>
      <c r="B443" s="94" t="s">
        <v>107</v>
      </c>
      <c r="C443" s="111" t="s">
        <v>206</v>
      </c>
      <c r="D443" s="93">
        <v>4.0</v>
      </c>
      <c r="E443" s="111" t="s">
        <v>108</v>
      </c>
      <c r="F443" s="93" t="s">
        <v>98</v>
      </c>
      <c r="G443" s="93" t="s">
        <v>86</v>
      </c>
      <c r="H443" s="93" t="s">
        <v>207</v>
      </c>
      <c r="I443" s="93" t="s">
        <v>118</v>
      </c>
      <c r="J443" s="93" t="s">
        <v>1596</v>
      </c>
      <c r="K443" s="93" t="s">
        <v>1586</v>
      </c>
      <c r="L443" s="93" t="s">
        <v>1597</v>
      </c>
      <c r="M443" s="93" t="s">
        <v>1598</v>
      </c>
      <c r="N443" s="93" t="s">
        <v>1589</v>
      </c>
      <c r="O443" s="93" t="s">
        <v>124</v>
      </c>
      <c r="P443" s="111">
        <v>1.0</v>
      </c>
      <c r="Q443" s="111">
        <v>1.0</v>
      </c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>
        <v>1.0</v>
      </c>
      <c r="AC443" s="93">
        <v>1.0</v>
      </c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5">
        <v>45078.0</v>
      </c>
      <c r="AR443" s="95">
        <v>44932.0</v>
      </c>
      <c r="AS443" s="95">
        <f t="shared" si="146"/>
        <v>45261</v>
      </c>
      <c r="AT443" s="93"/>
      <c r="AU443" s="103"/>
      <c r="AV443" s="93" t="s">
        <v>98</v>
      </c>
      <c r="AW443" s="103"/>
      <c r="AX443" s="93" t="s">
        <v>99</v>
      </c>
      <c r="AY443" s="93" t="str">
        <f t="shared" si="143"/>
        <v>#REF!</v>
      </c>
      <c r="AZ443" s="95">
        <f t="shared" si="144"/>
        <v>46171</v>
      </c>
      <c r="BA443" s="93"/>
    </row>
    <row r="444" ht="30.75" customHeight="1">
      <c r="A444" s="93" t="s">
        <v>81</v>
      </c>
      <c r="B444" s="94" t="s">
        <v>107</v>
      </c>
      <c r="C444" s="111" t="s">
        <v>206</v>
      </c>
      <c r="D444" s="93">
        <v>5.0</v>
      </c>
      <c r="E444" s="111" t="s">
        <v>108</v>
      </c>
      <c r="F444" s="93" t="s">
        <v>98</v>
      </c>
      <c r="G444" s="93" t="s">
        <v>86</v>
      </c>
      <c r="H444" s="93" t="s">
        <v>207</v>
      </c>
      <c r="I444" s="93" t="s">
        <v>118</v>
      </c>
      <c r="J444" s="93" t="s">
        <v>1599</v>
      </c>
      <c r="K444" s="93" t="s">
        <v>1600</v>
      </c>
      <c r="L444" s="93" t="s">
        <v>1601</v>
      </c>
      <c r="M444" s="93"/>
      <c r="N444" s="93" t="s">
        <v>1602</v>
      </c>
      <c r="O444" s="93" t="s">
        <v>124</v>
      </c>
      <c r="P444" s="111">
        <v>1.0</v>
      </c>
      <c r="Q444" s="111">
        <v>1.0</v>
      </c>
      <c r="R444" s="93"/>
      <c r="S444" s="93"/>
      <c r="T444" s="93"/>
      <c r="U444" s="93"/>
      <c r="V444" s="93"/>
      <c r="W444" s="93"/>
      <c r="X444" s="93">
        <v>1.0</v>
      </c>
      <c r="Y444" s="93">
        <v>1.0</v>
      </c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5">
        <v>45026.0</v>
      </c>
      <c r="AR444" s="95">
        <v>45026.0</v>
      </c>
      <c r="AS444" s="95">
        <f t="shared" si="146"/>
        <v>45209</v>
      </c>
      <c r="AT444" s="93"/>
      <c r="AU444" s="103"/>
      <c r="AV444" s="93" t="s">
        <v>98</v>
      </c>
      <c r="AW444" s="103"/>
      <c r="AX444" s="93" t="s">
        <v>99</v>
      </c>
      <c r="AY444" s="93" t="str">
        <f t="shared" si="143"/>
        <v>#REF!</v>
      </c>
      <c r="AZ444" s="95">
        <f t="shared" si="144"/>
        <v>46171</v>
      </c>
      <c r="BA444" s="93"/>
    </row>
    <row r="445" ht="30.75" customHeight="1">
      <c r="A445" s="93" t="s">
        <v>81</v>
      </c>
      <c r="B445" s="94" t="s">
        <v>107</v>
      </c>
      <c r="C445" s="111" t="s">
        <v>206</v>
      </c>
      <c r="D445" s="93">
        <v>6.0</v>
      </c>
      <c r="E445" s="111" t="s">
        <v>108</v>
      </c>
      <c r="F445" s="93" t="s">
        <v>98</v>
      </c>
      <c r="G445" s="93" t="s">
        <v>86</v>
      </c>
      <c r="H445" s="93" t="s">
        <v>207</v>
      </c>
      <c r="I445" s="93" t="s">
        <v>118</v>
      </c>
      <c r="J445" s="93" t="s">
        <v>1603</v>
      </c>
      <c r="K445" s="93" t="s">
        <v>1600</v>
      </c>
      <c r="L445" s="93" t="s">
        <v>1604</v>
      </c>
      <c r="M445" s="93"/>
      <c r="N445" s="93" t="s">
        <v>1602</v>
      </c>
      <c r="O445" s="93" t="s">
        <v>124</v>
      </c>
      <c r="P445" s="111">
        <v>1.0</v>
      </c>
      <c r="Q445" s="111" t="s">
        <v>98</v>
      </c>
      <c r="R445" s="93"/>
      <c r="S445" s="93"/>
      <c r="T445" s="93"/>
      <c r="U445" s="93"/>
      <c r="V445" s="93"/>
      <c r="W445" s="93"/>
      <c r="X445" s="93"/>
      <c r="Y445" s="93"/>
      <c r="Z445" s="93">
        <v>1.0</v>
      </c>
      <c r="AA445" s="93" t="s">
        <v>98</v>
      </c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5">
        <v>45026.0</v>
      </c>
      <c r="AR445" s="95">
        <v>45026.0</v>
      </c>
      <c r="AS445" s="95">
        <f t="shared" si="146"/>
        <v>45209</v>
      </c>
      <c r="AT445" s="93"/>
      <c r="AU445" s="103"/>
      <c r="AV445" s="93" t="s">
        <v>98</v>
      </c>
      <c r="AW445" s="103"/>
      <c r="AX445" s="93" t="s">
        <v>99</v>
      </c>
      <c r="AY445" s="93" t="str">
        <f t="shared" si="143"/>
        <v>#REF!</v>
      </c>
      <c r="AZ445" s="95">
        <f t="shared" si="144"/>
        <v>46171</v>
      </c>
      <c r="BA445" s="93"/>
    </row>
    <row r="446" ht="30.75" customHeight="1">
      <c r="A446" s="93" t="s">
        <v>81</v>
      </c>
      <c r="B446" s="94" t="s">
        <v>107</v>
      </c>
      <c r="C446" s="111" t="s">
        <v>206</v>
      </c>
      <c r="D446" s="93">
        <v>7.0</v>
      </c>
      <c r="E446" s="111" t="s">
        <v>108</v>
      </c>
      <c r="F446" s="93" t="s">
        <v>98</v>
      </c>
      <c r="G446" s="93" t="s">
        <v>86</v>
      </c>
      <c r="H446" s="93" t="s">
        <v>1605</v>
      </c>
      <c r="I446" s="93" t="s">
        <v>118</v>
      </c>
      <c r="J446" s="93" t="s">
        <v>1606</v>
      </c>
      <c r="K446" s="93" t="s">
        <v>1607</v>
      </c>
      <c r="L446" s="93" t="s">
        <v>1608</v>
      </c>
      <c r="M446" s="93">
        <v>802381.0</v>
      </c>
      <c r="N446" s="93" t="s">
        <v>1609</v>
      </c>
      <c r="O446" s="93" t="s">
        <v>124</v>
      </c>
      <c r="P446" s="111" t="s">
        <v>98</v>
      </c>
      <c r="Q446" s="111" t="s">
        <v>98</v>
      </c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5">
        <v>44824.0</v>
      </c>
      <c r="AR446" s="95">
        <v>44824.0</v>
      </c>
      <c r="AS446" s="95">
        <f t="shared" ref="AS446:AS449" si="147">DATE(YEAR(AQ446),MONTH(AQ446)+12,DAY(AQ446))</f>
        <v>45189</v>
      </c>
      <c r="AT446" s="93"/>
      <c r="AU446" s="103"/>
      <c r="AV446" s="93" t="s">
        <v>98</v>
      </c>
      <c r="AW446" s="103"/>
      <c r="AX446" s="93" t="s">
        <v>99</v>
      </c>
      <c r="AY446" s="93" t="str">
        <f t="shared" si="143"/>
        <v>#REF!</v>
      </c>
      <c r="AZ446" s="95">
        <f t="shared" si="144"/>
        <v>46171</v>
      </c>
      <c r="BA446" s="93"/>
    </row>
    <row r="447" ht="30.75" customHeight="1">
      <c r="A447" s="114" t="s">
        <v>81</v>
      </c>
      <c r="B447" s="115" t="s">
        <v>107</v>
      </c>
      <c r="C447" s="117" t="s">
        <v>206</v>
      </c>
      <c r="D447" s="114">
        <v>8.0</v>
      </c>
      <c r="E447" s="117" t="s">
        <v>108</v>
      </c>
      <c r="F447" s="114" t="s">
        <v>98</v>
      </c>
      <c r="G447" s="114" t="s">
        <v>86</v>
      </c>
      <c r="H447" s="114" t="s">
        <v>207</v>
      </c>
      <c r="I447" s="114" t="s">
        <v>118</v>
      </c>
      <c r="J447" s="114" t="s">
        <v>1606</v>
      </c>
      <c r="K447" s="114" t="s">
        <v>1607</v>
      </c>
      <c r="L447" s="114" t="s">
        <v>1610</v>
      </c>
      <c r="M447" s="114">
        <v>807546.0</v>
      </c>
      <c r="N447" s="114" t="s">
        <v>1609</v>
      </c>
      <c r="O447" s="114" t="s">
        <v>124</v>
      </c>
      <c r="P447" s="117">
        <v>1.0</v>
      </c>
      <c r="Q447" s="117">
        <v>1.0</v>
      </c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>
        <v>1.0</v>
      </c>
      <c r="AI447" s="114">
        <v>1.0</v>
      </c>
      <c r="AJ447" s="114"/>
      <c r="AK447" s="114"/>
      <c r="AL447" s="114"/>
      <c r="AM447" s="114"/>
      <c r="AN447" s="114"/>
      <c r="AO447" s="114"/>
      <c r="AP447" s="114"/>
      <c r="AQ447" s="118">
        <v>45882.0</v>
      </c>
      <c r="AR447" s="118">
        <v>45882.0</v>
      </c>
      <c r="AS447" s="118">
        <f t="shared" si="147"/>
        <v>46247</v>
      </c>
      <c r="AT447" s="114"/>
      <c r="AU447" s="140"/>
      <c r="AV447" s="114" t="s">
        <v>98</v>
      </c>
      <c r="AW447" s="140"/>
      <c r="AX447" s="114" t="s">
        <v>99</v>
      </c>
      <c r="AY447" s="114" t="str">
        <f t="shared" si="143"/>
        <v>#REF!</v>
      </c>
      <c r="AZ447" s="118">
        <f t="shared" si="144"/>
        <v>46171</v>
      </c>
      <c r="BA447" s="114"/>
    </row>
    <row r="448" ht="30.75" customHeight="1">
      <c r="A448" s="114" t="s">
        <v>81</v>
      </c>
      <c r="B448" s="115" t="s">
        <v>82</v>
      </c>
      <c r="C448" s="117" t="s">
        <v>206</v>
      </c>
      <c r="D448" s="114">
        <v>9.0</v>
      </c>
      <c r="E448" s="117" t="s">
        <v>108</v>
      </c>
      <c r="F448" s="114" t="s">
        <v>98</v>
      </c>
      <c r="G448" s="114" t="s">
        <v>86</v>
      </c>
      <c r="H448" s="114" t="s">
        <v>1611</v>
      </c>
      <c r="I448" s="114" t="s">
        <v>88</v>
      </c>
      <c r="J448" s="114" t="s">
        <v>319</v>
      </c>
      <c r="K448" s="114" t="s">
        <v>1612</v>
      </c>
      <c r="L448" s="114" t="s">
        <v>1613</v>
      </c>
      <c r="M448" s="114">
        <v>392934.0</v>
      </c>
      <c r="N448" s="114" t="s">
        <v>1614</v>
      </c>
      <c r="O448" s="114" t="s">
        <v>124</v>
      </c>
      <c r="P448" s="117">
        <v>2.0</v>
      </c>
      <c r="Q448" s="117">
        <v>2.0</v>
      </c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>
        <v>1.0</v>
      </c>
      <c r="AC448" s="114">
        <v>1.0</v>
      </c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14"/>
      <c r="AP448" s="114"/>
      <c r="AQ448" s="118" t="s">
        <v>95</v>
      </c>
      <c r="AR448" s="118" t="s">
        <v>95</v>
      </c>
      <c r="AS448" s="118" t="str">
        <f t="shared" si="147"/>
        <v>#VALUE!</v>
      </c>
      <c r="AT448" s="114" t="s">
        <v>1615</v>
      </c>
      <c r="AU448" s="140"/>
      <c r="AV448" s="114" t="s">
        <v>98</v>
      </c>
      <c r="AW448" s="140"/>
      <c r="AX448" s="114" t="s">
        <v>99</v>
      </c>
      <c r="AY448" s="114" t="str">
        <f t="shared" si="143"/>
        <v>#REF!</v>
      </c>
      <c r="AZ448" s="118">
        <f t="shared" si="144"/>
        <v>46171</v>
      </c>
      <c r="BA448" s="114"/>
    </row>
    <row r="449" ht="30.75" customHeight="1">
      <c r="A449" s="114" t="s">
        <v>81</v>
      </c>
      <c r="B449" s="115" t="s">
        <v>107</v>
      </c>
      <c r="C449" s="117" t="s">
        <v>206</v>
      </c>
      <c r="D449" s="114">
        <v>10.0</v>
      </c>
      <c r="E449" s="117" t="s">
        <v>108</v>
      </c>
      <c r="F449" s="114" t="s">
        <v>98</v>
      </c>
      <c r="G449" s="114" t="s">
        <v>86</v>
      </c>
      <c r="H449" s="114" t="s">
        <v>207</v>
      </c>
      <c r="I449" s="114" t="s">
        <v>118</v>
      </c>
      <c r="J449" s="114" t="s">
        <v>1616</v>
      </c>
      <c r="K449" s="114" t="s">
        <v>1617</v>
      </c>
      <c r="L449" s="114" t="s">
        <v>1618</v>
      </c>
      <c r="M449" s="114">
        <v>8604674.04854</v>
      </c>
      <c r="N449" s="114" t="s">
        <v>1619</v>
      </c>
      <c r="O449" s="114" t="s">
        <v>124</v>
      </c>
      <c r="P449" s="117">
        <v>1.0</v>
      </c>
      <c r="Q449" s="117">
        <v>1.0</v>
      </c>
      <c r="R449" s="114">
        <v>1.0</v>
      </c>
      <c r="S449" s="114">
        <v>1.0</v>
      </c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8">
        <v>46051.0</v>
      </c>
      <c r="AR449" s="118">
        <v>46051.0</v>
      </c>
      <c r="AS449" s="118">
        <f t="shared" si="147"/>
        <v>46416</v>
      </c>
      <c r="AT449" s="114" t="s">
        <v>98</v>
      </c>
      <c r="AU449" s="140"/>
      <c r="AV449" s="114" t="s">
        <v>98</v>
      </c>
      <c r="AW449" s="140"/>
      <c r="AX449" s="114" t="s">
        <v>99</v>
      </c>
      <c r="AY449" s="114" t="str">
        <f t="shared" si="143"/>
        <v>#REF!</v>
      </c>
      <c r="AZ449" s="118">
        <f t="shared" si="144"/>
        <v>46171</v>
      </c>
      <c r="BA449" s="114"/>
    </row>
    <row r="450" ht="30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  <c r="AL450" s="141"/>
      <c r="AM450" s="141"/>
      <c r="AN450" s="141"/>
      <c r="AO450" s="141"/>
      <c r="AP450" s="141"/>
      <c r="AQ450" s="141"/>
      <c r="AR450" s="141"/>
      <c r="AS450" s="141"/>
      <c r="AT450" s="141"/>
      <c r="AU450" s="141"/>
      <c r="AV450" s="141"/>
      <c r="AW450" s="141"/>
      <c r="AX450" s="141"/>
      <c r="AY450" s="141"/>
      <c r="AZ450" s="141"/>
      <c r="BA450" s="141"/>
    </row>
    <row r="451" ht="30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  <c r="AL451" s="141"/>
      <c r="AM451" s="141"/>
      <c r="AN451" s="141"/>
      <c r="AO451" s="141"/>
      <c r="AP451" s="141"/>
      <c r="AQ451" s="141"/>
      <c r="AR451" s="141"/>
      <c r="AS451" s="141"/>
      <c r="AT451" s="141"/>
      <c r="AU451" s="141"/>
      <c r="AV451" s="141"/>
      <c r="AW451" s="141"/>
      <c r="AX451" s="141"/>
      <c r="AY451" s="141"/>
      <c r="AZ451" s="141"/>
      <c r="BA451" s="141"/>
    </row>
    <row r="452" ht="30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  <c r="AL452" s="141"/>
      <c r="AM452" s="141"/>
      <c r="AN452" s="141"/>
      <c r="AO452" s="141"/>
      <c r="AP452" s="141"/>
      <c r="AQ452" s="141"/>
      <c r="AR452" s="141"/>
      <c r="AS452" s="141"/>
      <c r="AT452" s="141"/>
      <c r="AU452" s="141"/>
      <c r="AV452" s="141"/>
      <c r="AW452" s="141"/>
      <c r="AX452" s="141"/>
      <c r="AY452" s="141"/>
      <c r="AZ452" s="141"/>
      <c r="BA452" s="141"/>
    </row>
    <row r="453" ht="30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  <c r="AL453" s="141"/>
      <c r="AM453" s="141"/>
      <c r="AN453" s="141"/>
      <c r="AO453" s="141"/>
      <c r="AP453" s="141"/>
      <c r="AQ453" s="141"/>
      <c r="AR453" s="141"/>
      <c r="AS453" s="141"/>
      <c r="AT453" s="141"/>
      <c r="AU453" s="141"/>
      <c r="AV453" s="141"/>
      <c r="AW453" s="141"/>
      <c r="AX453" s="141"/>
      <c r="AY453" s="141"/>
      <c r="AZ453" s="141"/>
      <c r="BA453" s="141"/>
    </row>
    <row r="454" ht="30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  <c r="AL454" s="141"/>
      <c r="AM454" s="141"/>
      <c r="AN454" s="141"/>
      <c r="AO454" s="141"/>
      <c r="AP454" s="141"/>
      <c r="AQ454" s="141"/>
      <c r="AR454" s="141"/>
      <c r="AS454" s="141"/>
      <c r="AT454" s="141"/>
      <c r="AU454" s="141"/>
      <c r="AV454" s="141"/>
      <c r="AW454" s="141"/>
      <c r="AX454" s="141"/>
      <c r="AY454" s="141"/>
      <c r="AZ454" s="141"/>
      <c r="BA454" s="141"/>
    </row>
    <row r="455" ht="30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  <c r="AL455" s="141"/>
      <c r="AM455" s="141"/>
      <c r="AN455" s="141"/>
      <c r="AO455" s="141"/>
      <c r="AP455" s="141"/>
      <c r="AQ455" s="141"/>
      <c r="AR455" s="141"/>
      <c r="AS455" s="141"/>
      <c r="AT455" s="141"/>
      <c r="AU455" s="141"/>
      <c r="AV455" s="141"/>
      <c r="AW455" s="141"/>
      <c r="AX455" s="141"/>
      <c r="AY455" s="141"/>
      <c r="AZ455" s="141"/>
      <c r="BA455" s="141"/>
    </row>
    <row r="456" ht="30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  <c r="AL456" s="141"/>
      <c r="AM456" s="141"/>
      <c r="AN456" s="141"/>
      <c r="AO456" s="141"/>
      <c r="AP456" s="141"/>
      <c r="AQ456" s="141"/>
      <c r="AR456" s="141"/>
      <c r="AS456" s="141"/>
      <c r="AT456" s="141"/>
      <c r="AU456" s="141"/>
      <c r="AV456" s="141"/>
      <c r="AW456" s="141"/>
      <c r="AX456" s="141"/>
      <c r="AY456" s="141"/>
      <c r="AZ456" s="141"/>
      <c r="BA456" s="141"/>
    </row>
    <row r="457" ht="30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  <c r="AL457" s="141"/>
      <c r="AM457" s="141"/>
      <c r="AN457" s="141"/>
      <c r="AO457" s="141"/>
      <c r="AP457" s="141"/>
      <c r="AQ457" s="141"/>
      <c r="AR457" s="141"/>
      <c r="AS457" s="141"/>
      <c r="AT457" s="141"/>
      <c r="AU457" s="141"/>
      <c r="AV457" s="141"/>
      <c r="AW457" s="141"/>
      <c r="AX457" s="141"/>
      <c r="AY457" s="141"/>
      <c r="AZ457" s="141"/>
      <c r="BA457" s="141"/>
    </row>
    <row r="458" ht="30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  <c r="AL458" s="141"/>
      <c r="AM458" s="141"/>
      <c r="AN458" s="141"/>
      <c r="AO458" s="141"/>
      <c r="AP458" s="141"/>
      <c r="AQ458" s="141"/>
      <c r="AR458" s="141"/>
      <c r="AS458" s="141"/>
      <c r="AT458" s="141"/>
      <c r="AU458" s="141"/>
      <c r="AV458" s="141"/>
      <c r="AW458" s="141"/>
      <c r="AX458" s="141"/>
      <c r="AY458" s="141"/>
      <c r="AZ458" s="141"/>
      <c r="BA458" s="141"/>
    </row>
    <row r="459" ht="30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  <c r="AO459" s="141"/>
      <c r="AP459" s="141"/>
      <c r="AQ459" s="141"/>
      <c r="AR459" s="141"/>
      <c r="AS459" s="141"/>
      <c r="AT459" s="141"/>
      <c r="AU459" s="141"/>
      <c r="AV459" s="141"/>
      <c r="AW459" s="141"/>
      <c r="AX459" s="141"/>
      <c r="AY459" s="141"/>
      <c r="AZ459" s="141"/>
      <c r="BA459" s="141"/>
    </row>
    <row r="460" ht="30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  <c r="AM460" s="141"/>
      <c r="AN460" s="141"/>
      <c r="AO460" s="141"/>
      <c r="AP460" s="141"/>
      <c r="AQ460" s="141"/>
      <c r="AR460" s="141"/>
      <c r="AS460" s="141"/>
      <c r="AT460" s="141"/>
      <c r="AU460" s="141"/>
      <c r="AV460" s="141"/>
      <c r="AW460" s="141"/>
      <c r="AX460" s="141"/>
      <c r="AY460" s="141"/>
      <c r="AZ460" s="141"/>
      <c r="BA460" s="141"/>
    </row>
    <row r="461" ht="30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  <c r="AM461" s="141"/>
      <c r="AN461" s="141"/>
      <c r="AO461" s="141"/>
      <c r="AP461" s="141"/>
      <c r="AQ461" s="141"/>
      <c r="AR461" s="141"/>
      <c r="AS461" s="141"/>
      <c r="AT461" s="141"/>
      <c r="AU461" s="141"/>
      <c r="AV461" s="141"/>
      <c r="AW461" s="141"/>
      <c r="AX461" s="141"/>
      <c r="AY461" s="141"/>
      <c r="AZ461" s="141"/>
      <c r="BA461" s="141"/>
    </row>
    <row r="462" ht="30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  <c r="AM462" s="141"/>
      <c r="AN462" s="141"/>
      <c r="AO462" s="141"/>
      <c r="AP462" s="141"/>
      <c r="AQ462" s="141"/>
      <c r="AR462" s="141"/>
      <c r="AS462" s="141"/>
      <c r="AT462" s="141"/>
      <c r="AU462" s="141"/>
      <c r="AV462" s="141"/>
      <c r="AW462" s="141"/>
      <c r="AX462" s="141"/>
      <c r="AY462" s="141"/>
      <c r="AZ462" s="141"/>
      <c r="BA462" s="141"/>
    </row>
    <row r="463" ht="30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141"/>
      <c r="AO463" s="141"/>
      <c r="AP463" s="141"/>
      <c r="AQ463" s="141"/>
      <c r="AR463" s="141"/>
      <c r="AS463" s="141"/>
      <c r="AT463" s="141"/>
      <c r="AU463" s="141"/>
      <c r="AV463" s="141"/>
      <c r="AW463" s="141"/>
      <c r="AX463" s="141"/>
      <c r="AY463" s="141"/>
      <c r="AZ463" s="141"/>
      <c r="BA463" s="141"/>
    </row>
    <row r="464" ht="30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  <c r="AM464" s="141"/>
      <c r="AN464" s="141"/>
      <c r="AO464" s="141"/>
      <c r="AP464" s="141"/>
      <c r="AQ464" s="141"/>
      <c r="AR464" s="141"/>
      <c r="AS464" s="141"/>
      <c r="AT464" s="141"/>
      <c r="AU464" s="141"/>
      <c r="AV464" s="141"/>
      <c r="AW464" s="141"/>
      <c r="AX464" s="141"/>
      <c r="AY464" s="141"/>
      <c r="AZ464" s="141"/>
      <c r="BA464" s="141"/>
    </row>
    <row r="465" ht="30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  <c r="AL465" s="141"/>
      <c r="AM465" s="141"/>
      <c r="AN465" s="141"/>
      <c r="AO465" s="141"/>
      <c r="AP465" s="141"/>
      <c r="AQ465" s="141"/>
      <c r="AR465" s="141"/>
      <c r="AS465" s="141"/>
      <c r="AT465" s="141"/>
      <c r="AU465" s="141"/>
      <c r="AV465" s="141"/>
      <c r="AW465" s="141"/>
      <c r="AX465" s="141"/>
      <c r="AY465" s="141"/>
      <c r="AZ465" s="141"/>
      <c r="BA465" s="141"/>
    </row>
    <row r="466" ht="30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  <c r="AL466" s="141"/>
      <c r="AM466" s="141"/>
      <c r="AN466" s="141"/>
      <c r="AO466" s="141"/>
      <c r="AP466" s="141"/>
      <c r="AQ466" s="141"/>
      <c r="AR466" s="141"/>
      <c r="AS466" s="141"/>
      <c r="AT466" s="141"/>
      <c r="AU466" s="141"/>
      <c r="AV466" s="141"/>
      <c r="AW466" s="141"/>
      <c r="AX466" s="141"/>
      <c r="AY466" s="141"/>
      <c r="AZ466" s="141"/>
      <c r="BA466" s="141"/>
    </row>
    <row r="467" ht="30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  <c r="AM467" s="141"/>
      <c r="AN467" s="141"/>
      <c r="AO467" s="141"/>
      <c r="AP467" s="141"/>
      <c r="AQ467" s="141"/>
      <c r="AR467" s="141"/>
      <c r="AS467" s="141"/>
      <c r="AT467" s="141"/>
      <c r="AU467" s="141"/>
      <c r="AV467" s="141"/>
      <c r="AW467" s="141"/>
      <c r="AX467" s="141"/>
      <c r="AY467" s="141"/>
      <c r="AZ467" s="141"/>
      <c r="BA467" s="141"/>
    </row>
    <row r="468" ht="30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  <c r="AL468" s="141"/>
      <c r="AM468" s="141"/>
      <c r="AN468" s="141"/>
      <c r="AO468" s="141"/>
      <c r="AP468" s="141"/>
      <c r="AQ468" s="141"/>
      <c r="AR468" s="141"/>
      <c r="AS468" s="141"/>
      <c r="AT468" s="141"/>
      <c r="AU468" s="141"/>
      <c r="AV468" s="141"/>
      <c r="AW468" s="141"/>
      <c r="AX468" s="141"/>
      <c r="AY468" s="141"/>
      <c r="AZ468" s="141"/>
      <c r="BA468" s="141"/>
    </row>
    <row r="469" ht="30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  <c r="AL469" s="141"/>
      <c r="AM469" s="141"/>
      <c r="AN469" s="141"/>
      <c r="AO469" s="141"/>
      <c r="AP469" s="141"/>
      <c r="AQ469" s="141"/>
      <c r="AR469" s="141"/>
      <c r="AS469" s="141"/>
      <c r="AT469" s="141"/>
      <c r="AU469" s="141"/>
      <c r="AV469" s="141"/>
      <c r="AW469" s="141"/>
      <c r="AX469" s="141"/>
      <c r="AY469" s="141"/>
      <c r="AZ469" s="141"/>
      <c r="BA469" s="141"/>
    </row>
    <row r="470" ht="30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  <c r="AL470" s="141"/>
      <c r="AM470" s="141"/>
      <c r="AN470" s="141"/>
      <c r="AO470" s="141"/>
      <c r="AP470" s="141"/>
      <c r="AQ470" s="141"/>
      <c r="AR470" s="141"/>
      <c r="AS470" s="141"/>
      <c r="AT470" s="141"/>
      <c r="AU470" s="141"/>
      <c r="AV470" s="141"/>
      <c r="AW470" s="141"/>
      <c r="AX470" s="141"/>
      <c r="AY470" s="141"/>
      <c r="AZ470" s="141"/>
      <c r="BA470" s="141"/>
    </row>
    <row r="471" ht="30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  <c r="AL471" s="141"/>
      <c r="AM471" s="141"/>
      <c r="AN471" s="141"/>
      <c r="AO471" s="141"/>
      <c r="AP471" s="141"/>
      <c r="AQ471" s="141"/>
      <c r="AR471" s="141"/>
      <c r="AS471" s="141"/>
      <c r="AT471" s="141"/>
      <c r="AU471" s="141"/>
      <c r="AV471" s="141"/>
      <c r="AW471" s="141"/>
      <c r="AX471" s="141"/>
      <c r="AY471" s="141"/>
      <c r="AZ471" s="141"/>
      <c r="BA471" s="141"/>
    </row>
    <row r="472" ht="30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  <c r="AL472" s="141"/>
      <c r="AM472" s="141"/>
      <c r="AN472" s="141"/>
      <c r="AO472" s="141"/>
      <c r="AP472" s="141"/>
      <c r="AQ472" s="141"/>
      <c r="AR472" s="141"/>
      <c r="AS472" s="141"/>
      <c r="AT472" s="141"/>
      <c r="AU472" s="141"/>
      <c r="AV472" s="141"/>
      <c r="AW472" s="141"/>
      <c r="AX472" s="141"/>
      <c r="AY472" s="141"/>
      <c r="AZ472" s="141"/>
      <c r="BA472" s="141"/>
    </row>
    <row r="473" ht="30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  <c r="AM473" s="141"/>
      <c r="AN473" s="141"/>
      <c r="AO473" s="141"/>
      <c r="AP473" s="141"/>
      <c r="AQ473" s="141"/>
      <c r="AR473" s="141"/>
      <c r="AS473" s="141"/>
      <c r="AT473" s="141"/>
      <c r="AU473" s="141"/>
      <c r="AV473" s="141"/>
      <c r="AW473" s="141"/>
      <c r="AX473" s="141"/>
      <c r="AY473" s="141"/>
      <c r="AZ473" s="141"/>
      <c r="BA473" s="141"/>
    </row>
    <row r="474" ht="30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  <c r="AM474" s="141"/>
      <c r="AN474" s="141"/>
      <c r="AO474" s="141"/>
      <c r="AP474" s="141"/>
      <c r="AQ474" s="141"/>
      <c r="AR474" s="141"/>
      <c r="AS474" s="141"/>
      <c r="AT474" s="141"/>
      <c r="AU474" s="141"/>
      <c r="AV474" s="141"/>
      <c r="AW474" s="141"/>
      <c r="AX474" s="141"/>
      <c r="AY474" s="141"/>
      <c r="AZ474" s="141"/>
      <c r="BA474" s="141"/>
    </row>
    <row r="475" ht="30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  <c r="AL475" s="141"/>
      <c r="AM475" s="141"/>
      <c r="AN475" s="141"/>
      <c r="AO475" s="141"/>
      <c r="AP475" s="141"/>
      <c r="AQ475" s="141"/>
      <c r="AR475" s="141"/>
      <c r="AS475" s="141"/>
      <c r="AT475" s="141"/>
      <c r="AU475" s="141"/>
      <c r="AV475" s="141"/>
      <c r="AW475" s="141"/>
      <c r="AX475" s="141"/>
      <c r="AY475" s="141"/>
      <c r="AZ475" s="141"/>
      <c r="BA475" s="141"/>
    </row>
    <row r="476" ht="30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  <c r="AL476" s="141"/>
      <c r="AM476" s="141"/>
      <c r="AN476" s="141"/>
      <c r="AO476" s="141"/>
      <c r="AP476" s="141"/>
      <c r="AQ476" s="141"/>
      <c r="AR476" s="141"/>
      <c r="AS476" s="141"/>
      <c r="AT476" s="141"/>
      <c r="AU476" s="141"/>
      <c r="AV476" s="141"/>
      <c r="AW476" s="141"/>
      <c r="AX476" s="141"/>
      <c r="AY476" s="141"/>
      <c r="AZ476" s="141"/>
      <c r="BA476" s="141"/>
    </row>
    <row r="477" ht="30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  <c r="AL477" s="141"/>
      <c r="AM477" s="141"/>
      <c r="AN477" s="141"/>
      <c r="AO477" s="141"/>
      <c r="AP477" s="141"/>
      <c r="AQ477" s="141"/>
      <c r="AR477" s="141"/>
      <c r="AS477" s="141"/>
      <c r="AT477" s="141"/>
      <c r="AU477" s="141"/>
      <c r="AV477" s="141"/>
      <c r="AW477" s="141"/>
      <c r="AX477" s="141"/>
      <c r="AY477" s="141"/>
      <c r="AZ477" s="141"/>
      <c r="BA477" s="141"/>
    </row>
    <row r="478" ht="30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  <c r="AL478" s="141"/>
      <c r="AM478" s="141"/>
      <c r="AN478" s="141"/>
      <c r="AO478" s="141"/>
      <c r="AP478" s="141"/>
      <c r="AQ478" s="141"/>
      <c r="AR478" s="141"/>
      <c r="AS478" s="141"/>
      <c r="AT478" s="141"/>
      <c r="AU478" s="141"/>
      <c r="AV478" s="141"/>
      <c r="AW478" s="141"/>
      <c r="AX478" s="141"/>
      <c r="AY478" s="141"/>
      <c r="AZ478" s="141"/>
      <c r="BA478" s="141"/>
    </row>
    <row r="479" ht="30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141"/>
      <c r="AO479" s="141"/>
      <c r="AP479" s="141"/>
      <c r="AQ479" s="141"/>
      <c r="AR479" s="141"/>
      <c r="AS479" s="141"/>
      <c r="AT479" s="141"/>
      <c r="AU479" s="141"/>
      <c r="AV479" s="141"/>
      <c r="AW479" s="141"/>
      <c r="AX479" s="141"/>
      <c r="AY479" s="141"/>
      <c r="AZ479" s="141"/>
      <c r="BA479" s="141"/>
    </row>
    <row r="480" ht="30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  <c r="AL480" s="141"/>
      <c r="AM480" s="141"/>
      <c r="AN480" s="141"/>
      <c r="AO480" s="141"/>
      <c r="AP480" s="141"/>
      <c r="AQ480" s="141"/>
      <c r="AR480" s="141"/>
      <c r="AS480" s="141"/>
      <c r="AT480" s="141"/>
      <c r="AU480" s="141"/>
      <c r="AV480" s="141"/>
      <c r="AW480" s="141"/>
      <c r="AX480" s="141"/>
      <c r="AY480" s="141"/>
      <c r="AZ480" s="141"/>
      <c r="BA480" s="141"/>
    </row>
    <row r="481" ht="30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/>
      <c r="AM481" s="141"/>
      <c r="AN481" s="141"/>
      <c r="AO481" s="141"/>
      <c r="AP481" s="141"/>
      <c r="AQ481" s="141"/>
      <c r="AR481" s="141"/>
      <c r="AS481" s="141"/>
      <c r="AT481" s="141"/>
      <c r="AU481" s="141"/>
      <c r="AV481" s="141"/>
      <c r="AW481" s="141"/>
      <c r="AX481" s="141"/>
      <c r="AY481" s="141"/>
      <c r="AZ481" s="141"/>
      <c r="BA481" s="141"/>
    </row>
    <row r="482" ht="30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  <c r="AL482" s="141"/>
      <c r="AM482" s="141"/>
      <c r="AN482" s="141"/>
      <c r="AO482" s="141"/>
      <c r="AP482" s="141"/>
      <c r="AQ482" s="141"/>
      <c r="AR482" s="141"/>
      <c r="AS482" s="141"/>
      <c r="AT482" s="141"/>
      <c r="AU482" s="141"/>
      <c r="AV482" s="141"/>
      <c r="AW482" s="141"/>
      <c r="AX482" s="141"/>
      <c r="AY482" s="141"/>
      <c r="AZ482" s="141"/>
      <c r="BA482" s="141"/>
    </row>
    <row r="483" ht="30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/>
      <c r="AM483" s="141"/>
      <c r="AN483" s="141"/>
      <c r="AO483" s="141"/>
      <c r="AP483" s="141"/>
      <c r="AQ483" s="141"/>
      <c r="AR483" s="141"/>
      <c r="AS483" s="141"/>
      <c r="AT483" s="141"/>
      <c r="AU483" s="141"/>
      <c r="AV483" s="141"/>
      <c r="AW483" s="141"/>
      <c r="AX483" s="141"/>
      <c r="AY483" s="141"/>
      <c r="AZ483" s="141"/>
      <c r="BA483" s="141"/>
    </row>
    <row r="484" ht="30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  <c r="AL484" s="141"/>
      <c r="AM484" s="141"/>
      <c r="AN484" s="141"/>
      <c r="AO484" s="141"/>
      <c r="AP484" s="141"/>
      <c r="AQ484" s="141"/>
      <c r="AR484" s="141"/>
      <c r="AS484" s="141"/>
      <c r="AT484" s="141"/>
      <c r="AU484" s="141"/>
      <c r="AV484" s="141"/>
      <c r="AW484" s="141"/>
      <c r="AX484" s="141"/>
      <c r="AY484" s="141"/>
      <c r="AZ484" s="141"/>
      <c r="BA484" s="141"/>
    </row>
    <row r="485" ht="30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/>
      <c r="AM485" s="141"/>
      <c r="AN485" s="141"/>
      <c r="AO485" s="141"/>
      <c r="AP485" s="141"/>
      <c r="AQ485" s="141"/>
      <c r="AR485" s="141"/>
      <c r="AS485" s="141"/>
      <c r="AT485" s="141"/>
      <c r="AU485" s="141"/>
      <c r="AV485" s="141"/>
      <c r="AW485" s="141"/>
      <c r="AX485" s="141"/>
      <c r="AY485" s="141"/>
      <c r="AZ485" s="141"/>
      <c r="BA485" s="141"/>
    </row>
    <row r="486" ht="30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  <c r="AL486" s="141"/>
      <c r="AM486" s="141"/>
      <c r="AN486" s="141"/>
      <c r="AO486" s="141"/>
      <c r="AP486" s="141"/>
      <c r="AQ486" s="141"/>
      <c r="AR486" s="141"/>
      <c r="AS486" s="141"/>
      <c r="AT486" s="141"/>
      <c r="AU486" s="141"/>
      <c r="AV486" s="141"/>
      <c r="AW486" s="141"/>
      <c r="AX486" s="141"/>
      <c r="AY486" s="141"/>
      <c r="AZ486" s="141"/>
      <c r="BA486" s="141"/>
    </row>
    <row r="487" ht="30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  <c r="AL487" s="141"/>
      <c r="AM487" s="141"/>
      <c r="AN487" s="141"/>
      <c r="AO487" s="141"/>
      <c r="AP487" s="141"/>
      <c r="AQ487" s="141"/>
      <c r="AR487" s="141"/>
      <c r="AS487" s="141"/>
      <c r="AT487" s="141"/>
      <c r="AU487" s="141"/>
      <c r="AV487" s="141"/>
      <c r="AW487" s="141"/>
      <c r="AX487" s="141"/>
      <c r="AY487" s="141"/>
      <c r="AZ487" s="141"/>
      <c r="BA487" s="141"/>
    </row>
    <row r="488" ht="30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  <c r="AL488" s="141"/>
      <c r="AM488" s="141"/>
      <c r="AN488" s="141"/>
      <c r="AO488" s="141"/>
      <c r="AP488" s="141"/>
      <c r="AQ488" s="141"/>
      <c r="AR488" s="141"/>
      <c r="AS488" s="141"/>
      <c r="AT488" s="141"/>
      <c r="AU488" s="141"/>
      <c r="AV488" s="141"/>
      <c r="AW488" s="141"/>
      <c r="AX488" s="141"/>
      <c r="AY488" s="141"/>
      <c r="AZ488" s="141"/>
      <c r="BA488" s="141"/>
    </row>
    <row r="489" ht="30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  <c r="AL489" s="141"/>
      <c r="AM489" s="141"/>
      <c r="AN489" s="141"/>
      <c r="AO489" s="141"/>
      <c r="AP489" s="141"/>
      <c r="AQ489" s="141"/>
      <c r="AR489" s="141"/>
      <c r="AS489" s="141"/>
      <c r="AT489" s="141"/>
      <c r="AU489" s="141"/>
      <c r="AV489" s="141"/>
      <c r="AW489" s="141"/>
      <c r="AX489" s="141"/>
      <c r="AY489" s="141"/>
      <c r="AZ489" s="141"/>
      <c r="BA489" s="141"/>
    </row>
    <row r="490" ht="30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  <c r="AL490" s="141"/>
      <c r="AM490" s="141"/>
      <c r="AN490" s="141"/>
      <c r="AO490" s="141"/>
      <c r="AP490" s="141"/>
      <c r="AQ490" s="141"/>
      <c r="AR490" s="141"/>
      <c r="AS490" s="141"/>
      <c r="AT490" s="141"/>
      <c r="AU490" s="141"/>
      <c r="AV490" s="141"/>
      <c r="AW490" s="141"/>
      <c r="AX490" s="141"/>
      <c r="AY490" s="141"/>
      <c r="AZ490" s="141"/>
      <c r="BA490" s="141"/>
    </row>
    <row r="491" ht="30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  <c r="AL491" s="141"/>
      <c r="AM491" s="141"/>
      <c r="AN491" s="141"/>
      <c r="AO491" s="141"/>
      <c r="AP491" s="141"/>
      <c r="AQ491" s="141"/>
      <c r="AR491" s="141"/>
      <c r="AS491" s="141"/>
      <c r="AT491" s="141"/>
      <c r="AU491" s="141"/>
      <c r="AV491" s="141"/>
      <c r="AW491" s="141"/>
      <c r="AX491" s="141"/>
      <c r="AY491" s="141"/>
      <c r="AZ491" s="141"/>
      <c r="BA491" s="141"/>
    </row>
    <row r="492" ht="30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  <c r="AL492" s="141"/>
      <c r="AM492" s="141"/>
      <c r="AN492" s="141"/>
      <c r="AO492" s="141"/>
      <c r="AP492" s="141"/>
      <c r="AQ492" s="141"/>
      <c r="AR492" s="141"/>
      <c r="AS492" s="141"/>
      <c r="AT492" s="141"/>
      <c r="AU492" s="141"/>
      <c r="AV492" s="141"/>
      <c r="AW492" s="141"/>
      <c r="AX492" s="141"/>
      <c r="AY492" s="141"/>
      <c r="AZ492" s="141"/>
      <c r="BA492" s="141"/>
    </row>
    <row r="493" ht="30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/>
      <c r="AM493" s="141"/>
      <c r="AN493" s="141"/>
      <c r="AO493" s="141"/>
      <c r="AP493" s="141"/>
      <c r="AQ493" s="141"/>
      <c r="AR493" s="141"/>
      <c r="AS493" s="141"/>
      <c r="AT493" s="141"/>
      <c r="AU493" s="141"/>
      <c r="AV493" s="141"/>
      <c r="AW493" s="141"/>
      <c r="AX493" s="141"/>
      <c r="AY493" s="141"/>
      <c r="AZ493" s="141"/>
      <c r="BA493" s="141"/>
    </row>
    <row r="494" ht="30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  <c r="AL494" s="141"/>
      <c r="AM494" s="141"/>
      <c r="AN494" s="141"/>
      <c r="AO494" s="141"/>
      <c r="AP494" s="141"/>
      <c r="AQ494" s="141"/>
      <c r="AR494" s="141"/>
      <c r="AS494" s="141"/>
      <c r="AT494" s="141"/>
      <c r="AU494" s="141"/>
      <c r="AV494" s="141"/>
      <c r="AW494" s="141"/>
      <c r="AX494" s="141"/>
      <c r="AY494" s="141"/>
      <c r="AZ494" s="141"/>
      <c r="BA494" s="141"/>
    </row>
    <row r="495" ht="30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  <c r="AL495" s="141"/>
      <c r="AM495" s="141"/>
      <c r="AN495" s="141"/>
      <c r="AO495" s="141"/>
      <c r="AP495" s="141"/>
      <c r="AQ495" s="141"/>
      <c r="AR495" s="141"/>
      <c r="AS495" s="141"/>
      <c r="AT495" s="141"/>
      <c r="AU495" s="141"/>
      <c r="AV495" s="141"/>
      <c r="AW495" s="141"/>
      <c r="AX495" s="141"/>
      <c r="AY495" s="141"/>
      <c r="AZ495" s="141"/>
      <c r="BA495" s="141"/>
    </row>
    <row r="496" ht="30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  <c r="AL496" s="141"/>
      <c r="AM496" s="141"/>
      <c r="AN496" s="141"/>
      <c r="AO496" s="141"/>
      <c r="AP496" s="141"/>
      <c r="AQ496" s="141"/>
      <c r="AR496" s="141"/>
      <c r="AS496" s="141"/>
      <c r="AT496" s="141"/>
      <c r="AU496" s="141"/>
      <c r="AV496" s="141"/>
      <c r="AW496" s="141"/>
      <c r="AX496" s="141"/>
      <c r="AY496" s="141"/>
      <c r="AZ496" s="141"/>
      <c r="BA496" s="141"/>
    </row>
    <row r="497" ht="30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  <c r="AL497" s="141"/>
      <c r="AM497" s="141"/>
      <c r="AN497" s="141"/>
      <c r="AO497" s="141"/>
      <c r="AP497" s="141"/>
      <c r="AQ497" s="141"/>
      <c r="AR497" s="141"/>
      <c r="AS497" s="141"/>
      <c r="AT497" s="141"/>
      <c r="AU497" s="141"/>
      <c r="AV497" s="141"/>
      <c r="AW497" s="141"/>
      <c r="AX497" s="141"/>
      <c r="AY497" s="141"/>
      <c r="AZ497" s="141"/>
      <c r="BA497" s="141"/>
    </row>
    <row r="498" ht="30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  <c r="AL498" s="141"/>
      <c r="AM498" s="141"/>
      <c r="AN498" s="141"/>
      <c r="AO498" s="141"/>
      <c r="AP498" s="141"/>
      <c r="AQ498" s="141"/>
      <c r="AR498" s="141"/>
      <c r="AS498" s="141"/>
      <c r="AT498" s="141"/>
      <c r="AU498" s="141"/>
      <c r="AV498" s="141"/>
      <c r="AW498" s="141"/>
      <c r="AX498" s="141"/>
      <c r="AY498" s="141"/>
      <c r="AZ498" s="141"/>
      <c r="BA498" s="141"/>
    </row>
    <row r="499" ht="30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  <c r="AL499" s="141"/>
      <c r="AM499" s="141"/>
      <c r="AN499" s="141"/>
      <c r="AO499" s="141"/>
      <c r="AP499" s="141"/>
      <c r="AQ499" s="141"/>
      <c r="AR499" s="141"/>
      <c r="AS499" s="141"/>
      <c r="AT499" s="141"/>
      <c r="AU499" s="141"/>
      <c r="AV499" s="141"/>
      <c r="AW499" s="141"/>
      <c r="AX499" s="141"/>
      <c r="AY499" s="141"/>
      <c r="AZ499" s="141"/>
      <c r="BA499" s="141"/>
    </row>
    <row r="500" ht="30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  <c r="AL500" s="141"/>
      <c r="AM500" s="141"/>
      <c r="AN500" s="141"/>
      <c r="AO500" s="141"/>
      <c r="AP500" s="141"/>
      <c r="AQ500" s="141"/>
      <c r="AR500" s="141"/>
      <c r="AS500" s="141"/>
      <c r="AT500" s="141"/>
      <c r="AU500" s="141"/>
      <c r="AV500" s="141"/>
      <c r="AW500" s="141"/>
      <c r="AX500" s="141"/>
      <c r="AY500" s="141"/>
      <c r="AZ500" s="141"/>
      <c r="BA500" s="141"/>
    </row>
    <row r="501" ht="30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  <c r="AL501" s="141"/>
      <c r="AM501" s="141"/>
      <c r="AN501" s="141"/>
      <c r="AO501" s="141"/>
      <c r="AP501" s="141"/>
      <c r="AQ501" s="141"/>
      <c r="AR501" s="141"/>
      <c r="AS501" s="141"/>
      <c r="AT501" s="141"/>
      <c r="AU501" s="141"/>
      <c r="AV501" s="141"/>
      <c r="AW501" s="141"/>
      <c r="AX501" s="141"/>
      <c r="AY501" s="141"/>
      <c r="AZ501" s="141"/>
      <c r="BA501" s="141"/>
    </row>
    <row r="502" ht="30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  <c r="AL502" s="141"/>
      <c r="AM502" s="141"/>
      <c r="AN502" s="141"/>
      <c r="AO502" s="141"/>
      <c r="AP502" s="141"/>
      <c r="AQ502" s="141"/>
      <c r="AR502" s="141"/>
      <c r="AS502" s="141"/>
      <c r="AT502" s="141"/>
      <c r="AU502" s="141"/>
      <c r="AV502" s="141"/>
      <c r="AW502" s="141"/>
      <c r="AX502" s="141"/>
      <c r="AY502" s="141"/>
      <c r="AZ502" s="141"/>
      <c r="BA502" s="141"/>
    </row>
    <row r="503" ht="30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  <c r="AL503" s="141"/>
      <c r="AM503" s="141"/>
      <c r="AN503" s="141"/>
      <c r="AO503" s="141"/>
      <c r="AP503" s="141"/>
      <c r="AQ503" s="141"/>
      <c r="AR503" s="141"/>
      <c r="AS503" s="141"/>
      <c r="AT503" s="141"/>
      <c r="AU503" s="141"/>
      <c r="AV503" s="141"/>
      <c r="AW503" s="141"/>
      <c r="AX503" s="141"/>
      <c r="AY503" s="141"/>
      <c r="AZ503" s="141"/>
      <c r="BA503" s="141"/>
    </row>
    <row r="504" ht="30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  <c r="AL504" s="141"/>
      <c r="AM504" s="141"/>
      <c r="AN504" s="141"/>
      <c r="AO504" s="141"/>
      <c r="AP504" s="141"/>
      <c r="AQ504" s="141"/>
      <c r="AR504" s="141"/>
      <c r="AS504" s="141"/>
      <c r="AT504" s="141"/>
      <c r="AU504" s="141"/>
      <c r="AV504" s="141"/>
      <c r="AW504" s="141"/>
      <c r="AX504" s="141"/>
      <c r="AY504" s="141"/>
      <c r="AZ504" s="141"/>
      <c r="BA504" s="141"/>
    </row>
    <row r="505" ht="30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  <c r="AL505" s="141"/>
      <c r="AM505" s="141"/>
      <c r="AN505" s="141"/>
      <c r="AO505" s="141"/>
      <c r="AP505" s="141"/>
      <c r="AQ505" s="141"/>
      <c r="AR505" s="141"/>
      <c r="AS505" s="141"/>
      <c r="AT505" s="141"/>
      <c r="AU505" s="141"/>
      <c r="AV505" s="141"/>
      <c r="AW505" s="141"/>
      <c r="AX505" s="141"/>
      <c r="AY505" s="141"/>
      <c r="AZ505" s="141"/>
      <c r="BA505" s="141"/>
    </row>
    <row r="506" ht="30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  <c r="AL506" s="141"/>
      <c r="AM506" s="141"/>
      <c r="AN506" s="141"/>
      <c r="AO506" s="141"/>
      <c r="AP506" s="141"/>
      <c r="AQ506" s="141"/>
      <c r="AR506" s="141"/>
      <c r="AS506" s="141"/>
      <c r="AT506" s="141"/>
      <c r="AU506" s="141"/>
      <c r="AV506" s="141"/>
      <c r="AW506" s="141"/>
      <c r="AX506" s="141"/>
      <c r="AY506" s="141"/>
      <c r="AZ506" s="141"/>
      <c r="BA506" s="141"/>
    </row>
    <row r="507" ht="30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  <c r="AL507" s="141"/>
      <c r="AM507" s="141"/>
      <c r="AN507" s="141"/>
      <c r="AO507" s="141"/>
      <c r="AP507" s="141"/>
      <c r="AQ507" s="141"/>
      <c r="AR507" s="141"/>
      <c r="AS507" s="141"/>
      <c r="AT507" s="141"/>
      <c r="AU507" s="141"/>
      <c r="AV507" s="141"/>
      <c r="AW507" s="141"/>
      <c r="AX507" s="141"/>
      <c r="AY507" s="141"/>
      <c r="AZ507" s="141"/>
      <c r="BA507" s="141"/>
    </row>
    <row r="508" ht="30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  <c r="AL508" s="141"/>
      <c r="AM508" s="141"/>
      <c r="AN508" s="141"/>
      <c r="AO508" s="141"/>
      <c r="AP508" s="141"/>
      <c r="AQ508" s="141"/>
      <c r="AR508" s="141"/>
      <c r="AS508" s="141"/>
      <c r="AT508" s="141"/>
      <c r="AU508" s="141"/>
      <c r="AV508" s="141"/>
      <c r="AW508" s="141"/>
      <c r="AX508" s="141"/>
      <c r="AY508" s="141"/>
      <c r="AZ508" s="141"/>
      <c r="BA508" s="141"/>
    </row>
    <row r="509" ht="30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  <c r="AL509" s="141"/>
      <c r="AM509" s="141"/>
      <c r="AN509" s="141"/>
      <c r="AO509" s="141"/>
      <c r="AP509" s="141"/>
      <c r="AQ509" s="141"/>
      <c r="AR509" s="141"/>
      <c r="AS509" s="141"/>
      <c r="AT509" s="141"/>
      <c r="AU509" s="141"/>
      <c r="AV509" s="141"/>
      <c r="AW509" s="141"/>
      <c r="AX509" s="141"/>
      <c r="AY509" s="141"/>
      <c r="AZ509" s="141"/>
      <c r="BA509" s="141"/>
    </row>
    <row r="510" ht="30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  <c r="AL510" s="141"/>
      <c r="AM510" s="141"/>
      <c r="AN510" s="141"/>
      <c r="AO510" s="141"/>
      <c r="AP510" s="141"/>
      <c r="AQ510" s="141"/>
      <c r="AR510" s="141"/>
      <c r="AS510" s="141"/>
      <c r="AT510" s="141"/>
      <c r="AU510" s="141"/>
      <c r="AV510" s="141"/>
      <c r="AW510" s="141"/>
      <c r="AX510" s="141"/>
      <c r="AY510" s="141"/>
      <c r="AZ510" s="141"/>
      <c r="BA510" s="141"/>
    </row>
    <row r="511" ht="30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  <c r="AL511" s="141"/>
      <c r="AM511" s="141"/>
      <c r="AN511" s="141"/>
      <c r="AO511" s="141"/>
      <c r="AP511" s="141"/>
      <c r="AQ511" s="141"/>
      <c r="AR511" s="141"/>
      <c r="AS511" s="141"/>
      <c r="AT511" s="141"/>
      <c r="AU511" s="141"/>
      <c r="AV511" s="141"/>
      <c r="AW511" s="141"/>
      <c r="AX511" s="141"/>
      <c r="AY511" s="141"/>
      <c r="AZ511" s="141"/>
      <c r="BA511" s="141"/>
    </row>
    <row r="512" ht="30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  <c r="AL512" s="141"/>
      <c r="AM512" s="141"/>
      <c r="AN512" s="141"/>
      <c r="AO512" s="141"/>
      <c r="AP512" s="141"/>
      <c r="AQ512" s="141"/>
      <c r="AR512" s="141"/>
      <c r="AS512" s="141"/>
      <c r="AT512" s="141"/>
      <c r="AU512" s="141"/>
      <c r="AV512" s="141"/>
      <c r="AW512" s="141"/>
      <c r="AX512" s="141"/>
      <c r="AY512" s="141"/>
      <c r="AZ512" s="141"/>
      <c r="BA512" s="141"/>
    </row>
    <row r="513" ht="30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  <c r="AL513" s="141"/>
      <c r="AM513" s="141"/>
      <c r="AN513" s="141"/>
      <c r="AO513" s="141"/>
      <c r="AP513" s="141"/>
      <c r="AQ513" s="141"/>
      <c r="AR513" s="141"/>
      <c r="AS513" s="141"/>
      <c r="AT513" s="141"/>
      <c r="AU513" s="141"/>
      <c r="AV513" s="141"/>
      <c r="AW513" s="141"/>
      <c r="AX513" s="141"/>
      <c r="AY513" s="141"/>
      <c r="AZ513" s="141"/>
      <c r="BA513" s="141"/>
    </row>
    <row r="514" ht="30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  <c r="AL514" s="141"/>
      <c r="AM514" s="141"/>
      <c r="AN514" s="141"/>
      <c r="AO514" s="141"/>
      <c r="AP514" s="141"/>
      <c r="AQ514" s="141"/>
      <c r="AR514" s="141"/>
      <c r="AS514" s="141"/>
      <c r="AT514" s="141"/>
      <c r="AU514" s="141"/>
      <c r="AV514" s="141"/>
      <c r="AW514" s="141"/>
      <c r="AX514" s="141"/>
      <c r="AY514" s="141"/>
      <c r="AZ514" s="141"/>
      <c r="BA514" s="141"/>
    </row>
    <row r="515" ht="30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  <c r="AL515" s="141"/>
      <c r="AM515" s="141"/>
      <c r="AN515" s="141"/>
      <c r="AO515" s="141"/>
      <c r="AP515" s="141"/>
      <c r="AQ515" s="141"/>
      <c r="AR515" s="141"/>
      <c r="AS515" s="141"/>
      <c r="AT515" s="141"/>
      <c r="AU515" s="141"/>
      <c r="AV515" s="141"/>
      <c r="AW515" s="141"/>
      <c r="AX515" s="141"/>
      <c r="AY515" s="141"/>
      <c r="AZ515" s="141"/>
      <c r="BA515" s="141"/>
    </row>
    <row r="516" ht="30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  <c r="AL516" s="141"/>
      <c r="AM516" s="141"/>
      <c r="AN516" s="141"/>
      <c r="AO516" s="141"/>
      <c r="AP516" s="141"/>
      <c r="AQ516" s="141"/>
      <c r="AR516" s="141"/>
      <c r="AS516" s="141"/>
      <c r="AT516" s="141"/>
      <c r="AU516" s="141"/>
      <c r="AV516" s="141"/>
      <c r="AW516" s="141"/>
      <c r="AX516" s="141"/>
      <c r="AY516" s="141"/>
      <c r="AZ516" s="141"/>
      <c r="BA516" s="141"/>
    </row>
    <row r="517" ht="30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  <c r="AL517" s="141"/>
      <c r="AM517" s="141"/>
      <c r="AN517" s="141"/>
      <c r="AO517" s="141"/>
      <c r="AP517" s="141"/>
      <c r="AQ517" s="141"/>
      <c r="AR517" s="141"/>
      <c r="AS517" s="141"/>
      <c r="AT517" s="141"/>
      <c r="AU517" s="141"/>
      <c r="AV517" s="141"/>
      <c r="AW517" s="141"/>
      <c r="AX517" s="141"/>
      <c r="AY517" s="141"/>
      <c r="AZ517" s="141"/>
      <c r="BA517" s="141"/>
    </row>
    <row r="518" ht="30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  <c r="AL518" s="141"/>
      <c r="AM518" s="141"/>
      <c r="AN518" s="141"/>
      <c r="AO518" s="141"/>
      <c r="AP518" s="141"/>
      <c r="AQ518" s="141"/>
      <c r="AR518" s="141"/>
      <c r="AS518" s="141"/>
      <c r="AT518" s="141"/>
      <c r="AU518" s="141"/>
      <c r="AV518" s="141"/>
      <c r="AW518" s="141"/>
      <c r="AX518" s="141"/>
      <c r="AY518" s="141"/>
      <c r="AZ518" s="141"/>
      <c r="BA518" s="141"/>
    </row>
    <row r="519" ht="30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  <c r="AL519" s="141"/>
      <c r="AM519" s="141"/>
      <c r="AN519" s="141"/>
      <c r="AO519" s="141"/>
      <c r="AP519" s="141"/>
      <c r="AQ519" s="141"/>
      <c r="AR519" s="141"/>
      <c r="AS519" s="141"/>
      <c r="AT519" s="141"/>
      <c r="AU519" s="141"/>
      <c r="AV519" s="141"/>
      <c r="AW519" s="141"/>
      <c r="AX519" s="141"/>
      <c r="AY519" s="141"/>
      <c r="AZ519" s="141"/>
      <c r="BA519" s="141"/>
    </row>
    <row r="520" ht="30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  <c r="AL520" s="141"/>
      <c r="AM520" s="141"/>
      <c r="AN520" s="141"/>
      <c r="AO520" s="141"/>
      <c r="AP520" s="141"/>
      <c r="AQ520" s="141"/>
      <c r="AR520" s="141"/>
      <c r="AS520" s="141"/>
      <c r="AT520" s="141"/>
      <c r="AU520" s="141"/>
      <c r="AV520" s="141"/>
      <c r="AW520" s="141"/>
      <c r="AX520" s="141"/>
      <c r="AY520" s="141"/>
      <c r="AZ520" s="141"/>
      <c r="BA520" s="141"/>
    </row>
    <row r="521" ht="30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  <c r="AL521" s="141"/>
      <c r="AM521" s="141"/>
      <c r="AN521" s="141"/>
      <c r="AO521" s="141"/>
      <c r="AP521" s="141"/>
      <c r="AQ521" s="141"/>
      <c r="AR521" s="141"/>
      <c r="AS521" s="141"/>
      <c r="AT521" s="141"/>
      <c r="AU521" s="141"/>
      <c r="AV521" s="141"/>
      <c r="AW521" s="141"/>
      <c r="AX521" s="141"/>
      <c r="AY521" s="141"/>
      <c r="AZ521" s="141"/>
      <c r="BA521" s="141"/>
    </row>
    <row r="522" ht="30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  <c r="AL522" s="141"/>
      <c r="AM522" s="141"/>
      <c r="AN522" s="141"/>
      <c r="AO522" s="141"/>
      <c r="AP522" s="141"/>
      <c r="AQ522" s="141"/>
      <c r="AR522" s="141"/>
      <c r="AS522" s="141"/>
      <c r="AT522" s="141"/>
      <c r="AU522" s="141"/>
      <c r="AV522" s="141"/>
      <c r="AW522" s="141"/>
      <c r="AX522" s="141"/>
      <c r="AY522" s="141"/>
      <c r="AZ522" s="141"/>
      <c r="BA522" s="141"/>
    </row>
    <row r="523" ht="30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  <c r="AL523" s="141"/>
      <c r="AM523" s="141"/>
      <c r="AN523" s="141"/>
      <c r="AO523" s="141"/>
      <c r="AP523" s="141"/>
      <c r="AQ523" s="141"/>
      <c r="AR523" s="141"/>
      <c r="AS523" s="141"/>
      <c r="AT523" s="141"/>
      <c r="AU523" s="141"/>
      <c r="AV523" s="141"/>
      <c r="AW523" s="141"/>
      <c r="AX523" s="141"/>
      <c r="AY523" s="141"/>
      <c r="AZ523" s="141"/>
      <c r="BA523" s="141"/>
    </row>
    <row r="524" ht="30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  <c r="AL524" s="141"/>
      <c r="AM524" s="141"/>
      <c r="AN524" s="141"/>
      <c r="AO524" s="141"/>
      <c r="AP524" s="141"/>
      <c r="AQ524" s="141"/>
      <c r="AR524" s="141"/>
      <c r="AS524" s="141"/>
      <c r="AT524" s="141"/>
      <c r="AU524" s="141"/>
      <c r="AV524" s="141"/>
      <c r="AW524" s="141"/>
      <c r="AX524" s="141"/>
      <c r="AY524" s="141"/>
      <c r="AZ524" s="141"/>
      <c r="BA524" s="141"/>
    </row>
    <row r="525" ht="30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  <c r="AL525" s="141"/>
      <c r="AM525" s="141"/>
      <c r="AN525" s="141"/>
      <c r="AO525" s="141"/>
      <c r="AP525" s="141"/>
      <c r="AQ525" s="141"/>
      <c r="AR525" s="141"/>
      <c r="AS525" s="141"/>
      <c r="AT525" s="141"/>
      <c r="AU525" s="141"/>
      <c r="AV525" s="141"/>
      <c r="AW525" s="141"/>
      <c r="AX525" s="141"/>
      <c r="AY525" s="141"/>
      <c r="AZ525" s="141"/>
      <c r="BA525" s="141"/>
    </row>
    <row r="526" ht="30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  <c r="AL526" s="141"/>
      <c r="AM526" s="141"/>
      <c r="AN526" s="141"/>
      <c r="AO526" s="141"/>
      <c r="AP526" s="141"/>
      <c r="AQ526" s="141"/>
      <c r="AR526" s="141"/>
      <c r="AS526" s="141"/>
      <c r="AT526" s="141"/>
      <c r="AU526" s="141"/>
      <c r="AV526" s="141"/>
      <c r="AW526" s="141"/>
      <c r="AX526" s="141"/>
      <c r="AY526" s="141"/>
      <c r="AZ526" s="141"/>
      <c r="BA526" s="141"/>
    </row>
    <row r="527" ht="30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  <c r="AL527" s="141"/>
      <c r="AM527" s="141"/>
      <c r="AN527" s="141"/>
      <c r="AO527" s="141"/>
      <c r="AP527" s="141"/>
      <c r="AQ527" s="141"/>
      <c r="AR527" s="141"/>
      <c r="AS527" s="141"/>
      <c r="AT527" s="141"/>
      <c r="AU527" s="141"/>
      <c r="AV527" s="141"/>
      <c r="AW527" s="141"/>
      <c r="AX527" s="141"/>
      <c r="AY527" s="141"/>
      <c r="AZ527" s="141"/>
      <c r="BA527" s="141"/>
    </row>
    <row r="528" ht="30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  <c r="AL528" s="141"/>
      <c r="AM528" s="141"/>
      <c r="AN528" s="141"/>
      <c r="AO528" s="141"/>
      <c r="AP528" s="141"/>
      <c r="AQ528" s="141"/>
      <c r="AR528" s="141"/>
      <c r="AS528" s="141"/>
      <c r="AT528" s="141"/>
      <c r="AU528" s="141"/>
      <c r="AV528" s="141"/>
      <c r="AW528" s="141"/>
      <c r="AX528" s="141"/>
      <c r="AY528" s="141"/>
      <c r="AZ528" s="141"/>
      <c r="BA528" s="141"/>
    </row>
    <row r="529" ht="30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1"/>
      <c r="AM529" s="141"/>
      <c r="AN529" s="141"/>
      <c r="AO529" s="141"/>
      <c r="AP529" s="141"/>
      <c r="AQ529" s="141"/>
      <c r="AR529" s="141"/>
      <c r="AS529" s="141"/>
      <c r="AT529" s="141"/>
      <c r="AU529" s="141"/>
      <c r="AV529" s="141"/>
      <c r="AW529" s="141"/>
      <c r="AX529" s="141"/>
      <c r="AY529" s="141"/>
      <c r="AZ529" s="141"/>
      <c r="BA529" s="141"/>
    </row>
    <row r="530" ht="30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  <c r="AL530" s="141"/>
      <c r="AM530" s="141"/>
      <c r="AN530" s="141"/>
      <c r="AO530" s="141"/>
      <c r="AP530" s="141"/>
      <c r="AQ530" s="141"/>
      <c r="AR530" s="141"/>
      <c r="AS530" s="141"/>
      <c r="AT530" s="141"/>
      <c r="AU530" s="141"/>
      <c r="AV530" s="141"/>
      <c r="AW530" s="141"/>
      <c r="AX530" s="141"/>
      <c r="AY530" s="141"/>
      <c r="AZ530" s="141"/>
      <c r="BA530" s="141"/>
    </row>
    <row r="531" ht="30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1"/>
      <c r="AM531" s="141"/>
      <c r="AN531" s="141"/>
      <c r="AO531" s="141"/>
      <c r="AP531" s="141"/>
      <c r="AQ531" s="141"/>
      <c r="AR531" s="141"/>
      <c r="AS531" s="141"/>
      <c r="AT531" s="141"/>
      <c r="AU531" s="141"/>
      <c r="AV531" s="141"/>
      <c r="AW531" s="141"/>
      <c r="AX531" s="141"/>
      <c r="AY531" s="141"/>
      <c r="AZ531" s="141"/>
      <c r="BA531" s="141"/>
    </row>
    <row r="532" ht="30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  <c r="AL532" s="141"/>
      <c r="AM532" s="141"/>
      <c r="AN532" s="141"/>
      <c r="AO532" s="141"/>
      <c r="AP532" s="141"/>
      <c r="AQ532" s="141"/>
      <c r="AR532" s="141"/>
      <c r="AS532" s="141"/>
      <c r="AT532" s="141"/>
      <c r="AU532" s="141"/>
      <c r="AV532" s="141"/>
      <c r="AW532" s="141"/>
      <c r="AX532" s="141"/>
      <c r="AY532" s="141"/>
      <c r="AZ532" s="141"/>
      <c r="BA532" s="141"/>
    </row>
    <row r="533" ht="30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1"/>
      <c r="AM533" s="141"/>
      <c r="AN533" s="141"/>
      <c r="AO533" s="141"/>
      <c r="AP533" s="141"/>
      <c r="AQ533" s="141"/>
      <c r="AR533" s="141"/>
      <c r="AS533" s="141"/>
      <c r="AT533" s="141"/>
      <c r="AU533" s="141"/>
      <c r="AV533" s="141"/>
      <c r="AW533" s="141"/>
      <c r="AX533" s="141"/>
      <c r="AY533" s="141"/>
      <c r="AZ533" s="141"/>
      <c r="BA533" s="141"/>
    </row>
    <row r="534" ht="30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  <c r="AL534" s="141"/>
      <c r="AM534" s="141"/>
      <c r="AN534" s="141"/>
      <c r="AO534" s="141"/>
      <c r="AP534" s="141"/>
      <c r="AQ534" s="141"/>
      <c r="AR534" s="141"/>
      <c r="AS534" s="141"/>
      <c r="AT534" s="141"/>
      <c r="AU534" s="141"/>
      <c r="AV534" s="141"/>
      <c r="AW534" s="141"/>
      <c r="AX534" s="141"/>
      <c r="AY534" s="141"/>
      <c r="AZ534" s="141"/>
      <c r="BA534" s="141"/>
    </row>
    <row r="535" ht="30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  <c r="AL535" s="141"/>
      <c r="AM535" s="141"/>
      <c r="AN535" s="141"/>
      <c r="AO535" s="141"/>
      <c r="AP535" s="141"/>
      <c r="AQ535" s="141"/>
      <c r="AR535" s="141"/>
      <c r="AS535" s="141"/>
      <c r="AT535" s="141"/>
      <c r="AU535" s="141"/>
      <c r="AV535" s="141"/>
      <c r="AW535" s="141"/>
      <c r="AX535" s="141"/>
      <c r="AY535" s="141"/>
      <c r="AZ535" s="141"/>
      <c r="BA535" s="141"/>
    </row>
    <row r="536" ht="30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  <c r="AL536" s="141"/>
      <c r="AM536" s="141"/>
      <c r="AN536" s="141"/>
      <c r="AO536" s="141"/>
      <c r="AP536" s="141"/>
      <c r="AQ536" s="141"/>
      <c r="AR536" s="141"/>
      <c r="AS536" s="141"/>
      <c r="AT536" s="141"/>
      <c r="AU536" s="141"/>
      <c r="AV536" s="141"/>
      <c r="AW536" s="141"/>
      <c r="AX536" s="141"/>
      <c r="AY536" s="141"/>
      <c r="AZ536" s="141"/>
      <c r="BA536" s="141"/>
    </row>
    <row r="537" ht="30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  <c r="AL537" s="141"/>
      <c r="AM537" s="141"/>
      <c r="AN537" s="141"/>
      <c r="AO537" s="141"/>
      <c r="AP537" s="141"/>
      <c r="AQ537" s="141"/>
      <c r="AR537" s="141"/>
      <c r="AS537" s="141"/>
      <c r="AT537" s="141"/>
      <c r="AU537" s="141"/>
      <c r="AV537" s="141"/>
      <c r="AW537" s="141"/>
      <c r="AX537" s="141"/>
      <c r="AY537" s="141"/>
      <c r="AZ537" s="141"/>
      <c r="BA537" s="141"/>
    </row>
    <row r="538" ht="30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  <c r="AL538" s="141"/>
      <c r="AM538" s="141"/>
      <c r="AN538" s="141"/>
      <c r="AO538" s="141"/>
      <c r="AP538" s="141"/>
      <c r="AQ538" s="141"/>
      <c r="AR538" s="141"/>
      <c r="AS538" s="141"/>
      <c r="AT538" s="141"/>
      <c r="AU538" s="141"/>
      <c r="AV538" s="141"/>
      <c r="AW538" s="141"/>
      <c r="AX538" s="141"/>
      <c r="AY538" s="141"/>
      <c r="AZ538" s="141"/>
      <c r="BA538" s="141"/>
    </row>
    <row r="539" ht="30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  <c r="AL539" s="141"/>
      <c r="AM539" s="141"/>
      <c r="AN539" s="141"/>
      <c r="AO539" s="141"/>
      <c r="AP539" s="141"/>
      <c r="AQ539" s="141"/>
      <c r="AR539" s="141"/>
      <c r="AS539" s="141"/>
      <c r="AT539" s="141"/>
      <c r="AU539" s="141"/>
      <c r="AV539" s="141"/>
      <c r="AW539" s="141"/>
      <c r="AX539" s="141"/>
      <c r="AY539" s="141"/>
      <c r="AZ539" s="141"/>
      <c r="BA539" s="141"/>
    </row>
    <row r="540" ht="30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1"/>
      <c r="AM540" s="141"/>
      <c r="AN540" s="141"/>
      <c r="AO540" s="141"/>
      <c r="AP540" s="141"/>
      <c r="AQ540" s="141"/>
      <c r="AR540" s="141"/>
      <c r="AS540" s="141"/>
      <c r="AT540" s="141"/>
      <c r="AU540" s="141"/>
      <c r="AV540" s="141"/>
      <c r="AW540" s="141"/>
      <c r="AX540" s="141"/>
      <c r="AY540" s="141"/>
      <c r="AZ540" s="141"/>
      <c r="BA540" s="141"/>
    </row>
    <row r="541" ht="30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1"/>
      <c r="AM541" s="141"/>
      <c r="AN541" s="141"/>
      <c r="AO541" s="141"/>
      <c r="AP541" s="141"/>
      <c r="AQ541" s="141"/>
      <c r="AR541" s="141"/>
      <c r="AS541" s="141"/>
      <c r="AT541" s="141"/>
      <c r="AU541" s="141"/>
      <c r="AV541" s="141"/>
      <c r="AW541" s="141"/>
      <c r="AX541" s="141"/>
      <c r="AY541" s="141"/>
      <c r="AZ541" s="141"/>
      <c r="BA541" s="141"/>
    </row>
    <row r="542" ht="30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  <c r="AL542" s="141"/>
      <c r="AM542" s="141"/>
      <c r="AN542" s="141"/>
      <c r="AO542" s="141"/>
      <c r="AP542" s="141"/>
      <c r="AQ542" s="141"/>
      <c r="AR542" s="141"/>
      <c r="AS542" s="141"/>
      <c r="AT542" s="141"/>
      <c r="AU542" s="141"/>
      <c r="AV542" s="141"/>
      <c r="AW542" s="141"/>
      <c r="AX542" s="141"/>
      <c r="AY542" s="141"/>
      <c r="AZ542" s="141"/>
      <c r="BA542" s="141"/>
    </row>
    <row r="543" ht="30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1"/>
      <c r="AM543" s="141"/>
      <c r="AN543" s="141"/>
      <c r="AO543" s="141"/>
      <c r="AP543" s="141"/>
      <c r="AQ543" s="141"/>
      <c r="AR543" s="141"/>
      <c r="AS543" s="141"/>
      <c r="AT543" s="141"/>
      <c r="AU543" s="141"/>
      <c r="AV543" s="141"/>
      <c r="AW543" s="141"/>
      <c r="AX543" s="141"/>
      <c r="AY543" s="141"/>
      <c r="AZ543" s="141"/>
      <c r="BA543" s="141"/>
    </row>
    <row r="544" ht="30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  <c r="AL544" s="141"/>
      <c r="AM544" s="141"/>
      <c r="AN544" s="141"/>
      <c r="AO544" s="141"/>
      <c r="AP544" s="141"/>
      <c r="AQ544" s="141"/>
      <c r="AR544" s="141"/>
      <c r="AS544" s="141"/>
      <c r="AT544" s="141"/>
      <c r="AU544" s="141"/>
      <c r="AV544" s="141"/>
      <c r="AW544" s="141"/>
      <c r="AX544" s="141"/>
      <c r="AY544" s="141"/>
      <c r="AZ544" s="141"/>
      <c r="BA544" s="141"/>
    </row>
    <row r="545" ht="30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141"/>
      <c r="AO545" s="141"/>
      <c r="AP545" s="141"/>
      <c r="AQ545" s="141"/>
      <c r="AR545" s="141"/>
      <c r="AS545" s="141"/>
      <c r="AT545" s="141"/>
      <c r="AU545" s="141"/>
      <c r="AV545" s="141"/>
      <c r="AW545" s="141"/>
      <c r="AX545" s="141"/>
      <c r="AY545" s="141"/>
      <c r="AZ545" s="141"/>
      <c r="BA545" s="141"/>
    </row>
    <row r="546" ht="30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  <c r="AL546" s="141"/>
      <c r="AM546" s="141"/>
      <c r="AN546" s="141"/>
      <c r="AO546" s="141"/>
      <c r="AP546" s="141"/>
      <c r="AQ546" s="141"/>
      <c r="AR546" s="141"/>
      <c r="AS546" s="141"/>
      <c r="AT546" s="141"/>
      <c r="AU546" s="141"/>
      <c r="AV546" s="141"/>
      <c r="AW546" s="141"/>
      <c r="AX546" s="141"/>
      <c r="AY546" s="141"/>
      <c r="AZ546" s="141"/>
      <c r="BA546" s="141"/>
    </row>
    <row r="547" ht="30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1"/>
      <c r="AM547" s="141"/>
      <c r="AN547" s="141"/>
      <c r="AO547" s="141"/>
      <c r="AP547" s="141"/>
      <c r="AQ547" s="141"/>
      <c r="AR547" s="141"/>
      <c r="AS547" s="141"/>
      <c r="AT547" s="141"/>
      <c r="AU547" s="141"/>
      <c r="AV547" s="141"/>
      <c r="AW547" s="141"/>
      <c r="AX547" s="141"/>
      <c r="AY547" s="141"/>
      <c r="AZ547" s="141"/>
      <c r="BA547" s="141"/>
    </row>
    <row r="548" ht="30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  <c r="AL548" s="141"/>
      <c r="AM548" s="141"/>
      <c r="AN548" s="141"/>
      <c r="AO548" s="141"/>
      <c r="AP548" s="141"/>
      <c r="AQ548" s="141"/>
      <c r="AR548" s="141"/>
      <c r="AS548" s="141"/>
      <c r="AT548" s="141"/>
      <c r="AU548" s="141"/>
      <c r="AV548" s="141"/>
      <c r="AW548" s="141"/>
      <c r="AX548" s="141"/>
      <c r="AY548" s="141"/>
      <c r="AZ548" s="141"/>
      <c r="BA548" s="141"/>
    </row>
    <row r="549" ht="30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  <c r="AL549" s="141"/>
      <c r="AM549" s="141"/>
      <c r="AN549" s="141"/>
      <c r="AO549" s="141"/>
      <c r="AP549" s="141"/>
      <c r="AQ549" s="141"/>
      <c r="AR549" s="141"/>
      <c r="AS549" s="141"/>
      <c r="AT549" s="141"/>
      <c r="AU549" s="141"/>
      <c r="AV549" s="141"/>
      <c r="AW549" s="141"/>
      <c r="AX549" s="141"/>
      <c r="AY549" s="141"/>
      <c r="AZ549" s="141"/>
      <c r="BA549" s="141"/>
    </row>
    <row r="550" ht="30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  <c r="AL550" s="141"/>
      <c r="AM550" s="141"/>
      <c r="AN550" s="141"/>
      <c r="AO550" s="141"/>
      <c r="AP550" s="141"/>
      <c r="AQ550" s="141"/>
      <c r="AR550" s="141"/>
      <c r="AS550" s="141"/>
      <c r="AT550" s="141"/>
      <c r="AU550" s="141"/>
      <c r="AV550" s="141"/>
      <c r="AW550" s="141"/>
      <c r="AX550" s="141"/>
      <c r="AY550" s="141"/>
      <c r="AZ550" s="141"/>
      <c r="BA550" s="141"/>
    </row>
    <row r="551" ht="30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1"/>
      <c r="AM551" s="141"/>
      <c r="AN551" s="141"/>
      <c r="AO551" s="141"/>
      <c r="AP551" s="141"/>
      <c r="AQ551" s="141"/>
      <c r="AR551" s="141"/>
      <c r="AS551" s="141"/>
      <c r="AT551" s="141"/>
      <c r="AU551" s="141"/>
      <c r="AV551" s="141"/>
      <c r="AW551" s="141"/>
      <c r="AX551" s="141"/>
      <c r="AY551" s="141"/>
      <c r="AZ551" s="141"/>
      <c r="BA551" s="141"/>
    </row>
    <row r="552" ht="30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  <c r="AL552" s="141"/>
      <c r="AM552" s="141"/>
      <c r="AN552" s="141"/>
      <c r="AO552" s="141"/>
      <c r="AP552" s="141"/>
      <c r="AQ552" s="141"/>
      <c r="AR552" s="141"/>
      <c r="AS552" s="141"/>
      <c r="AT552" s="141"/>
      <c r="AU552" s="141"/>
      <c r="AV552" s="141"/>
      <c r="AW552" s="141"/>
      <c r="AX552" s="141"/>
      <c r="AY552" s="141"/>
      <c r="AZ552" s="141"/>
      <c r="BA552" s="141"/>
    </row>
    <row r="553" ht="30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  <c r="AL553" s="141"/>
      <c r="AM553" s="141"/>
      <c r="AN553" s="141"/>
      <c r="AO553" s="141"/>
      <c r="AP553" s="141"/>
      <c r="AQ553" s="141"/>
      <c r="AR553" s="141"/>
      <c r="AS553" s="141"/>
      <c r="AT553" s="141"/>
      <c r="AU553" s="141"/>
      <c r="AV553" s="141"/>
      <c r="AW553" s="141"/>
      <c r="AX553" s="141"/>
      <c r="AY553" s="141"/>
      <c r="AZ553" s="141"/>
      <c r="BA553" s="141"/>
    </row>
    <row r="554" ht="30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  <c r="AL554" s="141"/>
      <c r="AM554" s="141"/>
      <c r="AN554" s="141"/>
      <c r="AO554" s="141"/>
      <c r="AP554" s="141"/>
      <c r="AQ554" s="141"/>
      <c r="AR554" s="141"/>
      <c r="AS554" s="141"/>
      <c r="AT554" s="141"/>
      <c r="AU554" s="141"/>
      <c r="AV554" s="141"/>
      <c r="AW554" s="141"/>
      <c r="AX554" s="141"/>
      <c r="AY554" s="141"/>
      <c r="AZ554" s="141"/>
      <c r="BA554" s="141"/>
    </row>
    <row r="555" ht="30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  <c r="AL555" s="141"/>
      <c r="AM555" s="141"/>
      <c r="AN555" s="141"/>
      <c r="AO555" s="141"/>
      <c r="AP555" s="141"/>
      <c r="AQ555" s="141"/>
      <c r="AR555" s="141"/>
      <c r="AS555" s="141"/>
      <c r="AT555" s="141"/>
      <c r="AU555" s="141"/>
      <c r="AV555" s="141"/>
      <c r="AW555" s="141"/>
      <c r="AX555" s="141"/>
      <c r="AY555" s="141"/>
      <c r="AZ555" s="141"/>
      <c r="BA555" s="141"/>
    </row>
    <row r="556" ht="30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  <c r="AL556" s="141"/>
      <c r="AM556" s="141"/>
      <c r="AN556" s="141"/>
      <c r="AO556" s="141"/>
      <c r="AP556" s="141"/>
      <c r="AQ556" s="141"/>
      <c r="AR556" s="141"/>
      <c r="AS556" s="141"/>
      <c r="AT556" s="141"/>
      <c r="AU556" s="141"/>
      <c r="AV556" s="141"/>
      <c r="AW556" s="141"/>
      <c r="AX556" s="141"/>
      <c r="AY556" s="141"/>
      <c r="AZ556" s="141"/>
      <c r="BA556" s="141"/>
    </row>
    <row r="557" ht="30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  <c r="AL557" s="141"/>
      <c r="AM557" s="141"/>
      <c r="AN557" s="141"/>
      <c r="AO557" s="141"/>
      <c r="AP557" s="141"/>
      <c r="AQ557" s="141"/>
      <c r="AR557" s="141"/>
      <c r="AS557" s="141"/>
      <c r="AT557" s="141"/>
      <c r="AU557" s="141"/>
      <c r="AV557" s="141"/>
      <c r="AW557" s="141"/>
      <c r="AX557" s="141"/>
      <c r="AY557" s="141"/>
      <c r="AZ557" s="141"/>
      <c r="BA557" s="141"/>
    </row>
    <row r="558" ht="30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  <c r="AL558" s="141"/>
      <c r="AM558" s="141"/>
      <c r="AN558" s="141"/>
      <c r="AO558" s="141"/>
      <c r="AP558" s="141"/>
      <c r="AQ558" s="141"/>
      <c r="AR558" s="141"/>
      <c r="AS558" s="141"/>
      <c r="AT558" s="141"/>
      <c r="AU558" s="141"/>
      <c r="AV558" s="141"/>
      <c r="AW558" s="141"/>
      <c r="AX558" s="141"/>
      <c r="AY558" s="141"/>
      <c r="AZ558" s="141"/>
      <c r="BA558" s="141"/>
    </row>
    <row r="559" ht="30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  <c r="AL559" s="141"/>
      <c r="AM559" s="141"/>
      <c r="AN559" s="141"/>
      <c r="AO559" s="141"/>
      <c r="AP559" s="141"/>
      <c r="AQ559" s="141"/>
      <c r="AR559" s="141"/>
      <c r="AS559" s="141"/>
      <c r="AT559" s="141"/>
      <c r="AU559" s="141"/>
      <c r="AV559" s="141"/>
      <c r="AW559" s="141"/>
      <c r="AX559" s="141"/>
      <c r="AY559" s="141"/>
      <c r="AZ559" s="141"/>
      <c r="BA559" s="141"/>
    </row>
    <row r="560" ht="30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  <c r="AL560" s="141"/>
      <c r="AM560" s="141"/>
      <c r="AN560" s="141"/>
      <c r="AO560" s="141"/>
      <c r="AP560" s="141"/>
      <c r="AQ560" s="141"/>
      <c r="AR560" s="141"/>
      <c r="AS560" s="141"/>
      <c r="AT560" s="141"/>
      <c r="AU560" s="141"/>
      <c r="AV560" s="141"/>
      <c r="AW560" s="141"/>
      <c r="AX560" s="141"/>
      <c r="AY560" s="141"/>
      <c r="AZ560" s="141"/>
      <c r="BA560" s="141"/>
    </row>
    <row r="561" ht="30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  <c r="AL561" s="141"/>
      <c r="AM561" s="141"/>
      <c r="AN561" s="141"/>
      <c r="AO561" s="141"/>
      <c r="AP561" s="141"/>
      <c r="AQ561" s="141"/>
      <c r="AR561" s="141"/>
      <c r="AS561" s="141"/>
      <c r="AT561" s="141"/>
      <c r="AU561" s="141"/>
      <c r="AV561" s="141"/>
      <c r="AW561" s="141"/>
      <c r="AX561" s="141"/>
      <c r="AY561" s="141"/>
      <c r="AZ561" s="141"/>
      <c r="BA561" s="141"/>
    </row>
    <row r="562" ht="30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  <c r="AL562" s="141"/>
      <c r="AM562" s="141"/>
      <c r="AN562" s="141"/>
      <c r="AO562" s="141"/>
      <c r="AP562" s="141"/>
      <c r="AQ562" s="141"/>
      <c r="AR562" s="141"/>
      <c r="AS562" s="141"/>
      <c r="AT562" s="141"/>
      <c r="AU562" s="141"/>
      <c r="AV562" s="141"/>
      <c r="AW562" s="141"/>
      <c r="AX562" s="141"/>
      <c r="AY562" s="141"/>
      <c r="AZ562" s="141"/>
      <c r="BA562" s="141"/>
    </row>
    <row r="563" ht="30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  <c r="AL563" s="141"/>
      <c r="AM563" s="141"/>
      <c r="AN563" s="141"/>
      <c r="AO563" s="141"/>
      <c r="AP563" s="141"/>
      <c r="AQ563" s="141"/>
      <c r="AR563" s="141"/>
      <c r="AS563" s="141"/>
      <c r="AT563" s="141"/>
      <c r="AU563" s="141"/>
      <c r="AV563" s="141"/>
      <c r="AW563" s="141"/>
      <c r="AX563" s="141"/>
      <c r="AY563" s="141"/>
      <c r="AZ563" s="141"/>
      <c r="BA563" s="141"/>
    </row>
    <row r="564" ht="30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  <c r="AL564" s="141"/>
      <c r="AM564" s="141"/>
      <c r="AN564" s="141"/>
      <c r="AO564" s="141"/>
      <c r="AP564" s="141"/>
      <c r="AQ564" s="141"/>
      <c r="AR564" s="141"/>
      <c r="AS564" s="141"/>
      <c r="AT564" s="141"/>
      <c r="AU564" s="141"/>
      <c r="AV564" s="141"/>
      <c r="AW564" s="141"/>
      <c r="AX564" s="141"/>
      <c r="AY564" s="141"/>
      <c r="AZ564" s="141"/>
      <c r="BA564" s="141"/>
    </row>
    <row r="565" ht="30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  <c r="AL565" s="141"/>
      <c r="AM565" s="141"/>
      <c r="AN565" s="141"/>
      <c r="AO565" s="141"/>
      <c r="AP565" s="141"/>
      <c r="AQ565" s="141"/>
      <c r="AR565" s="141"/>
      <c r="AS565" s="141"/>
      <c r="AT565" s="141"/>
      <c r="AU565" s="141"/>
      <c r="AV565" s="141"/>
      <c r="AW565" s="141"/>
      <c r="AX565" s="141"/>
      <c r="AY565" s="141"/>
      <c r="AZ565" s="141"/>
      <c r="BA565" s="141"/>
    </row>
    <row r="566" ht="30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  <c r="AL566" s="141"/>
      <c r="AM566" s="141"/>
      <c r="AN566" s="141"/>
      <c r="AO566" s="141"/>
      <c r="AP566" s="141"/>
      <c r="AQ566" s="141"/>
      <c r="AR566" s="141"/>
      <c r="AS566" s="141"/>
      <c r="AT566" s="141"/>
      <c r="AU566" s="141"/>
      <c r="AV566" s="141"/>
      <c r="AW566" s="141"/>
      <c r="AX566" s="141"/>
      <c r="AY566" s="141"/>
      <c r="AZ566" s="141"/>
      <c r="BA566" s="141"/>
    </row>
    <row r="567" ht="30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  <c r="AL567" s="141"/>
      <c r="AM567" s="141"/>
      <c r="AN567" s="141"/>
      <c r="AO567" s="141"/>
      <c r="AP567" s="141"/>
      <c r="AQ567" s="141"/>
      <c r="AR567" s="141"/>
      <c r="AS567" s="141"/>
      <c r="AT567" s="141"/>
      <c r="AU567" s="141"/>
      <c r="AV567" s="141"/>
      <c r="AW567" s="141"/>
      <c r="AX567" s="141"/>
      <c r="AY567" s="141"/>
      <c r="AZ567" s="141"/>
      <c r="BA567" s="141"/>
    </row>
    <row r="568" ht="30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  <c r="AL568" s="141"/>
      <c r="AM568" s="141"/>
      <c r="AN568" s="141"/>
      <c r="AO568" s="141"/>
      <c r="AP568" s="141"/>
      <c r="AQ568" s="141"/>
      <c r="AR568" s="141"/>
      <c r="AS568" s="141"/>
      <c r="AT568" s="141"/>
      <c r="AU568" s="141"/>
      <c r="AV568" s="141"/>
      <c r="AW568" s="141"/>
      <c r="AX568" s="141"/>
      <c r="AY568" s="141"/>
      <c r="AZ568" s="141"/>
      <c r="BA568" s="141"/>
    </row>
    <row r="569" ht="30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  <c r="AL569" s="141"/>
      <c r="AM569" s="141"/>
      <c r="AN569" s="141"/>
      <c r="AO569" s="141"/>
      <c r="AP569" s="141"/>
      <c r="AQ569" s="141"/>
      <c r="AR569" s="141"/>
      <c r="AS569" s="141"/>
      <c r="AT569" s="141"/>
      <c r="AU569" s="141"/>
      <c r="AV569" s="141"/>
      <c r="AW569" s="141"/>
      <c r="AX569" s="141"/>
      <c r="AY569" s="141"/>
      <c r="AZ569" s="141"/>
      <c r="BA569" s="141"/>
    </row>
    <row r="570" ht="30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  <c r="AL570" s="141"/>
      <c r="AM570" s="141"/>
      <c r="AN570" s="141"/>
      <c r="AO570" s="141"/>
      <c r="AP570" s="141"/>
      <c r="AQ570" s="141"/>
      <c r="AR570" s="141"/>
      <c r="AS570" s="141"/>
      <c r="AT570" s="141"/>
      <c r="AU570" s="141"/>
      <c r="AV570" s="141"/>
      <c r="AW570" s="141"/>
      <c r="AX570" s="141"/>
      <c r="AY570" s="141"/>
      <c r="AZ570" s="141"/>
      <c r="BA570" s="141"/>
    </row>
    <row r="571" ht="30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1"/>
      <c r="AM571" s="141"/>
      <c r="AN571" s="141"/>
      <c r="AO571" s="141"/>
      <c r="AP571" s="141"/>
      <c r="AQ571" s="141"/>
      <c r="AR571" s="141"/>
      <c r="AS571" s="141"/>
      <c r="AT571" s="141"/>
      <c r="AU571" s="141"/>
      <c r="AV571" s="141"/>
      <c r="AW571" s="141"/>
      <c r="AX571" s="141"/>
      <c r="AY571" s="141"/>
      <c r="AZ571" s="141"/>
      <c r="BA571" s="141"/>
    </row>
    <row r="572" ht="30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  <c r="AL572" s="141"/>
      <c r="AM572" s="141"/>
      <c r="AN572" s="141"/>
      <c r="AO572" s="141"/>
      <c r="AP572" s="141"/>
      <c r="AQ572" s="141"/>
      <c r="AR572" s="141"/>
      <c r="AS572" s="141"/>
      <c r="AT572" s="141"/>
      <c r="AU572" s="141"/>
      <c r="AV572" s="141"/>
      <c r="AW572" s="141"/>
      <c r="AX572" s="141"/>
      <c r="AY572" s="141"/>
      <c r="AZ572" s="141"/>
      <c r="BA572" s="141"/>
    </row>
    <row r="573" ht="30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  <c r="AL573" s="141"/>
      <c r="AM573" s="141"/>
      <c r="AN573" s="141"/>
      <c r="AO573" s="141"/>
      <c r="AP573" s="141"/>
      <c r="AQ573" s="141"/>
      <c r="AR573" s="141"/>
      <c r="AS573" s="141"/>
      <c r="AT573" s="141"/>
      <c r="AU573" s="141"/>
      <c r="AV573" s="141"/>
      <c r="AW573" s="141"/>
      <c r="AX573" s="141"/>
      <c r="AY573" s="141"/>
      <c r="AZ573" s="141"/>
      <c r="BA573" s="141"/>
    </row>
    <row r="574" ht="30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  <c r="AL574" s="141"/>
      <c r="AM574" s="141"/>
      <c r="AN574" s="141"/>
      <c r="AO574" s="141"/>
      <c r="AP574" s="141"/>
      <c r="AQ574" s="141"/>
      <c r="AR574" s="141"/>
      <c r="AS574" s="141"/>
      <c r="AT574" s="141"/>
      <c r="AU574" s="141"/>
      <c r="AV574" s="141"/>
      <c r="AW574" s="141"/>
      <c r="AX574" s="141"/>
      <c r="AY574" s="141"/>
      <c r="AZ574" s="141"/>
      <c r="BA574" s="141"/>
    </row>
    <row r="575" ht="30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  <c r="AL575" s="141"/>
      <c r="AM575" s="141"/>
      <c r="AN575" s="141"/>
      <c r="AO575" s="141"/>
      <c r="AP575" s="141"/>
      <c r="AQ575" s="141"/>
      <c r="AR575" s="141"/>
      <c r="AS575" s="141"/>
      <c r="AT575" s="141"/>
      <c r="AU575" s="141"/>
      <c r="AV575" s="141"/>
      <c r="AW575" s="141"/>
      <c r="AX575" s="141"/>
      <c r="AY575" s="141"/>
      <c r="AZ575" s="141"/>
      <c r="BA575" s="141"/>
    </row>
    <row r="576" ht="30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  <c r="AL576" s="141"/>
      <c r="AM576" s="141"/>
      <c r="AN576" s="141"/>
      <c r="AO576" s="141"/>
      <c r="AP576" s="141"/>
      <c r="AQ576" s="141"/>
      <c r="AR576" s="141"/>
      <c r="AS576" s="141"/>
      <c r="AT576" s="141"/>
      <c r="AU576" s="141"/>
      <c r="AV576" s="141"/>
      <c r="AW576" s="141"/>
      <c r="AX576" s="141"/>
      <c r="AY576" s="141"/>
      <c r="AZ576" s="141"/>
      <c r="BA576" s="141"/>
    </row>
    <row r="577" ht="30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  <c r="AL577" s="141"/>
      <c r="AM577" s="141"/>
      <c r="AN577" s="141"/>
      <c r="AO577" s="141"/>
      <c r="AP577" s="141"/>
      <c r="AQ577" s="141"/>
      <c r="AR577" s="141"/>
      <c r="AS577" s="141"/>
      <c r="AT577" s="141"/>
      <c r="AU577" s="141"/>
      <c r="AV577" s="141"/>
      <c r="AW577" s="141"/>
      <c r="AX577" s="141"/>
      <c r="AY577" s="141"/>
      <c r="AZ577" s="141"/>
      <c r="BA577" s="141"/>
    </row>
    <row r="578" ht="30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  <c r="AL578" s="141"/>
      <c r="AM578" s="141"/>
      <c r="AN578" s="141"/>
      <c r="AO578" s="141"/>
      <c r="AP578" s="141"/>
      <c r="AQ578" s="141"/>
      <c r="AR578" s="141"/>
      <c r="AS578" s="141"/>
      <c r="AT578" s="141"/>
      <c r="AU578" s="141"/>
      <c r="AV578" s="141"/>
      <c r="AW578" s="141"/>
      <c r="AX578" s="141"/>
      <c r="AY578" s="141"/>
      <c r="AZ578" s="141"/>
      <c r="BA578" s="141"/>
    </row>
    <row r="579" ht="30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1"/>
      <c r="AM579" s="141"/>
      <c r="AN579" s="141"/>
      <c r="AO579" s="141"/>
      <c r="AP579" s="141"/>
      <c r="AQ579" s="141"/>
      <c r="AR579" s="141"/>
      <c r="AS579" s="141"/>
      <c r="AT579" s="141"/>
      <c r="AU579" s="141"/>
      <c r="AV579" s="141"/>
      <c r="AW579" s="141"/>
      <c r="AX579" s="141"/>
      <c r="AY579" s="141"/>
      <c r="AZ579" s="141"/>
      <c r="BA579" s="141"/>
    </row>
    <row r="580" ht="30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  <c r="AL580" s="141"/>
      <c r="AM580" s="141"/>
      <c r="AN580" s="141"/>
      <c r="AO580" s="141"/>
      <c r="AP580" s="141"/>
      <c r="AQ580" s="141"/>
      <c r="AR580" s="141"/>
      <c r="AS580" s="141"/>
      <c r="AT580" s="141"/>
      <c r="AU580" s="141"/>
      <c r="AV580" s="141"/>
      <c r="AW580" s="141"/>
      <c r="AX580" s="141"/>
      <c r="AY580" s="141"/>
      <c r="AZ580" s="141"/>
      <c r="BA580" s="141"/>
    </row>
    <row r="581" ht="30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  <c r="AL581" s="141"/>
      <c r="AM581" s="141"/>
      <c r="AN581" s="141"/>
      <c r="AO581" s="141"/>
      <c r="AP581" s="141"/>
      <c r="AQ581" s="141"/>
      <c r="AR581" s="141"/>
      <c r="AS581" s="141"/>
      <c r="AT581" s="141"/>
      <c r="AU581" s="141"/>
      <c r="AV581" s="141"/>
      <c r="AW581" s="141"/>
      <c r="AX581" s="141"/>
      <c r="AY581" s="141"/>
      <c r="AZ581" s="141"/>
      <c r="BA581" s="141"/>
    </row>
    <row r="582" ht="30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  <c r="AL582" s="141"/>
      <c r="AM582" s="141"/>
      <c r="AN582" s="141"/>
      <c r="AO582" s="141"/>
      <c r="AP582" s="141"/>
      <c r="AQ582" s="141"/>
      <c r="AR582" s="141"/>
      <c r="AS582" s="141"/>
      <c r="AT582" s="141"/>
      <c r="AU582" s="141"/>
      <c r="AV582" s="141"/>
      <c r="AW582" s="141"/>
      <c r="AX582" s="141"/>
      <c r="AY582" s="141"/>
      <c r="AZ582" s="141"/>
      <c r="BA582" s="141"/>
    </row>
    <row r="583" ht="30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  <c r="AL583" s="141"/>
      <c r="AM583" s="141"/>
      <c r="AN583" s="141"/>
      <c r="AO583" s="141"/>
      <c r="AP583" s="141"/>
      <c r="AQ583" s="141"/>
      <c r="AR583" s="141"/>
      <c r="AS583" s="141"/>
      <c r="AT583" s="141"/>
      <c r="AU583" s="141"/>
      <c r="AV583" s="141"/>
      <c r="AW583" s="141"/>
      <c r="AX583" s="141"/>
      <c r="AY583" s="141"/>
      <c r="AZ583" s="141"/>
      <c r="BA583" s="141"/>
    </row>
    <row r="584" ht="30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  <c r="AL584" s="141"/>
      <c r="AM584" s="141"/>
      <c r="AN584" s="141"/>
      <c r="AO584" s="141"/>
      <c r="AP584" s="141"/>
      <c r="AQ584" s="141"/>
      <c r="AR584" s="141"/>
      <c r="AS584" s="141"/>
      <c r="AT584" s="141"/>
      <c r="AU584" s="141"/>
      <c r="AV584" s="141"/>
      <c r="AW584" s="141"/>
      <c r="AX584" s="141"/>
      <c r="AY584" s="141"/>
      <c r="AZ584" s="141"/>
      <c r="BA584" s="141"/>
    </row>
    <row r="585" ht="30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  <c r="AL585" s="141"/>
      <c r="AM585" s="141"/>
      <c r="AN585" s="141"/>
      <c r="AO585" s="141"/>
      <c r="AP585" s="141"/>
      <c r="AQ585" s="141"/>
      <c r="AR585" s="141"/>
      <c r="AS585" s="141"/>
      <c r="AT585" s="141"/>
      <c r="AU585" s="141"/>
      <c r="AV585" s="141"/>
      <c r="AW585" s="141"/>
      <c r="AX585" s="141"/>
      <c r="AY585" s="141"/>
      <c r="AZ585" s="141"/>
      <c r="BA585" s="141"/>
    </row>
    <row r="586" ht="30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  <c r="AL586" s="141"/>
      <c r="AM586" s="141"/>
      <c r="AN586" s="141"/>
      <c r="AO586" s="141"/>
      <c r="AP586" s="141"/>
      <c r="AQ586" s="141"/>
      <c r="AR586" s="141"/>
      <c r="AS586" s="141"/>
      <c r="AT586" s="141"/>
      <c r="AU586" s="141"/>
      <c r="AV586" s="141"/>
      <c r="AW586" s="141"/>
      <c r="AX586" s="141"/>
      <c r="AY586" s="141"/>
      <c r="AZ586" s="141"/>
      <c r="BA586" s="141"/>
    </row>
    <row r="587" ht="30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  <c r="AL587" s="141"/>
      <c r="AM587" s="141"/>
      <c r="AN587" s="141"/>
      <c r="AO587" s="141"/>
      <c r="AP587" s="141"/>
      <c r="AQ587" s="141"/>
      <c r="AR587" s="141"/>
      <c r="AS587" s="141"/>
      <c r="AT587" s="141"/>
      <c r="AU587" s="141"/>
      <c r="AV587" s="141"/>
      <c r="AW587" s="141"/>
      <c r="AX587" s="141"/>
      <c r="AY587" s="141"/>
      <c r="AZ587" s="141"/>
      <c r="BA587" s="141"/>
    </row>
    <row r="588" ht="30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  <c r="AL588" s="141"/>
      <c r="AM588" s="141"/>
      <c r="AN588" s="141"/>
      <c r="AO588" s="141"/>
      <c r="AP588" s="141"/>
      <c r="AQ588" s="141"/>
      <c r="AR588" s="141"/>
      <c r="AS588" s="141"/>
      <c r="AT588" s="141"/>
      <c r="AU588" s="141"/>
      <c r="AV588" s="141"/>
      <c r="AW588" s="141"/>
      <c r="AX588" s="141"/>
      <c r="AY588" s="141"/>
      <c r="AZ588" s="141"/>
      <c r="BA588" s="141"/>
    </row>
    <row r="589" ht="30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  <c r="AL589" s="141"/>
      <c r="AM589" s="141"/>
      <c r="AN589" s="141"/>
      <c r="AO589" s="141"/>
      <c r="AP589" s="141"/>
      <c r="AQ589" s="141"/>
      <c r="AR589" s="141"/>
      <c r="AS589" s="141"/>
      <c r="AT589" s="141"/>
      <c r="AU589" s="141"/>
      <c r="AV589" s="141"/>
      <c r="AW589" s="141"/>
      <c r="AX589" s="141"/>
      <c r="AY589" s="141"/>
      <c r="AZ589" s="141"/>
      <c r="BA589" s="141"/>
    </row>
    <row r="590" ht="30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  <c r="AL590" s="141"/>
      <c r="AM590" s="141"/>
      <c r="AN590" s="141"/>
      <c r="AO590" s="141"/>
      <c r="AP590" s="141"/>
      <c r="AQ590" s="141"/>
      <c r="AR590" s="141"/>
      <c r="AS590" s="141"/>
      <c r="AT590" s="141"/>
      <c r="AU590" s="141"/>
      <c r="AV590" s="141"/>
      <c r="AW590" s="141"/>
      <c r="AX590" s="141"/>
      <c r="AY590" s="141"/>
      <c r="AZ590" s="141"/>
      <c r="BA590" s="141"/>
    </row>
    <row r="591" ht="30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  <c r="AL591" s="141"/>
      <c r="AM591" s="141"/>
      <c r="AN591" s="141"/>
      <c r="AO591" s="141"/>
      <c r="AP591" s="141"/>
      <c r="AQ591" s="141"/>
      <c r="AR591" s="141"/>
      <c r="AS591" s="141"/>
      <c r="AT591" s="141"/>
      <c r="AU591" s="141"/>
      <c r="AV591" s="141"/>
      <c r="AW591" s="141"/>
      <c r="AX591" s="141"/>
      <c r="AY591" s="141"/>
      <c r="AZ591" s="141"/>
      <c r="BA591" s="141"/>
    </row>
    <row r="592" ht="30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  <c r="AL592" s="141"/>
      <c r="AM592" s="141"/>
      <c r="AN592" s="141"/>
      <c r="AO592" s="141"/>
      <c r="AP592" s="141"/>
      <c r="AQ592" s="141"/>
      <c r="AR592" s="141"/>
      <c r="AS592" s="141"/>
      <c r="AT592" s="141"/>
      <c r="AU592" s="141"/>
      <c r="AV592" s="141"/>
      <c r="AW592" s="141"/>
      <c r="AX592" s="141"/>
      <c r="AY592" s="141"/>
      <c r="AZ592" s="141"/>
      <c r="BA592" s="141"/>
    </row>
    <row r="593" ht="30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  <c r="AL593" s="141"/>
      <c r="AM593" s="141"/>
      <c r="AN593" s="141"/>
      <c r="AO593" s="141"/>
      <c r="AP593" s="141"/>
      <c r="AQ593" s="141"/>
      <c r="AR593" s="141"/>
      <c r="AS593" s="141"/>
      <c r="AT593" s="141"/>
      <c r="AU593" s="141"/>
      <c r="AV593" s="141"/>
      <c r="AW593" s="141"/>
      <c r="AX593" s="141"/>
      <c r="AY593" s="141"/>
      <c r="AZ593" s="141"/>
      <c r="BA593" s="141"/>
    </row>
    <row r="594" ht="30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  <c r="AL594" s="141"/>
      <c r="AM594" s="141"/>
      <c r="AN594" s="141"/>
      <c r="AO594" s="141"/>
      <c r="AP594" s="141"/>
      <c r="AQ594" s="141"/>
      <c r="AR594" s="141"/>
      <c r="AS594" s="141"/>
      <c r="AT594" s="141"/>
      <c r="AU594" s="141"/>
      <c r="AV594" s="141"/>
      <c r="AW594" s="141"/>
      <c r="AX594" s="141"/>
      <c r="AY594" s="141"/>
      <c r="AZ594" s="141"/>
      <c r="BA594" s="141"/>
    </row>
    <row r="595" ht="30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  <c r="AL595" s="141"/>
      <c r="AM595" s="141"/>
      <c r="AN595" s="141"/>
      <c r="AO595" s="141"/>
      <c r="AP595" s="141"/>
      <c r="AQ595" s="141"/>
      <c r="AR595" s="141"/>
      <c r="AS595" s="141"/>
      <c r="AT595" s="141"/>
      <c r="AU595" s="141"/>
      <c r="AV595" s="141"/>
      <c r="AW595" s="141"/>
      <c r="AX595" s="141"/>
      <c r="AY595" s="141"/>
      <c r="AZ595" s="141"/>
      <c r="BA595" s="141"/>
    </row>
    <row r="596" ht="30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  <c r="AL596" s="141"/>
      <c r="AM596" s="141"/>
      <c r="AN596" s="141"/>
      <c r="AO596" s="141"/>
      <c r="AP596" s="141"/>
      <c r="AQ596" s="141"/>
      <c r="AR596" s="141"/>
      <c r="AS596" s="141"/>
      <c r="AT596" s="141"/>
      <c r="AU596" s="141"/>
      <c r="AV596" s="141"/>
      <c r="AW596" s="141"/>
      <c r="AX596" s="141"/>
      <c r="AY596" s="141"/>
      <c r="AZ596" s="141"/>
      <c r="BA596" s="141"/>
    </row>
    <row r="597" ht="30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  <c r="AL597" s="141"/>
      <c r="AM597" s="141"/>
      <c r="AN597" s="141"/>
      <c r="AO597" s="141"/>
      <c r="AP597" s="141"/>
      <c r="AQ597" s="141"/>
      <c r="AR597" s="141"/>
      <c r="AS597" s="141"/>
      <c r="AT597" s="141"/>
      <c r="AU597" s="141"/>
      <c r="AV597" s="141"/>
      <c r="AW597" s="141"/>
      <c r="AX597" s="141"/>
      <c r="AY597" s="141"/>
      <c r="AZ597" s="141"/>
      <c r="BA597" s="141"/>
    </row>
    <row r="598" ht="30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  <c r="AL598" s="141"/>
      <c r="AM598" s="141"/>
      <c r="AN598" s="141"/>
      <c r="AO598" s="141"/>
      <c r="AP598" s="141"/>
      <c r="AQ598" s="141"/>
      <c r="AR598" s="141"/>
      <c r="AS598" s="141"/>
      <c r="AT598" s="141"/>
      <c r="AU598" s="141"/>
      <c r="AV598" s="141"/>
      <c r="AW598" s="141"/>
      <c r="AX598" s="141"/>
      <c r="AY598" s="141"/>
      <c r="AZ598" s="141"/>
      <c r="BA598" s="141"/>
    </row>
    <row r="599" ht="30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  <c r="AL599" s="141"/>
      <c r="AM599" s="141"/>
      <c r="AN599" s="141"/>
      <c r="AO599" s="141"/>
      <c r="AP599" s="141"/>
      <c r="AQ599" s="141"/>
      <c r="AR599" s="141"/>
      <c r="AS599" s="141"/>
      <c r="AT599" s="141"/>
      <c r="AU599" s="141"/>
      <c r="AV599" s="141"/>
      <c r="AW599" s="141"/>
      <c r="AX599" s="141"/>
      <c r="AY599" s="141"/>
      <c r="AZ599" s="141"/>
      <c r="BA599" s="141"/>
    </row>
    <row r="600" ht="30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  <c r="AL600" s="141"/>
      <c r="AM600" s="141"/>
      <c r="AN600" s="141"/>
      <c r="AO600" s="141"/>
      <c r="AP600" s="141"/>
      <c r="AQ600" s="141"/>
      <c r="AR600" s="141"/>
      <c r="AS600" s="141"/>
      <c r="AT600" s="141"/>
      <c r="AU600" s="141"/>
      <c r="AV600" s="141"/>
      <c r="AW600" s="141"/>
      <c r="AX600" s="141"/>
      <c r="AY600" s="141"/>
      <c r="AZ600" s="141"/>
      <c r="BA600" s="141"/>
    </row>
    <row r="601" ht="30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  <c r="AL601" s="141"/>
      <c r="AM601" s="141"/>
      <c r="AN601" s="141"/>
      <c r="AO601" s="141"/>
      <c r="AP601" s="141"/>
      <c r="AQ601" s="141"/>
      <c r="AR601" s="141"/>
      <c r="AS601" s="141"/>
      <c r="AT601" s="141"/>
      <c r="AU601" s="141"/>
      <c r="AV601" s="141"/>
      <c r="AW601" s="141"/>
      <c r="AX601" s="141"/>
      <c r="AY601" s="141"/>
      <c r="AZ601" s="141"/>
      <c r="BA601" s="141"/>
    </row>
    <row r="602" ht="30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  <c r="AL602" s="141"/>
      <c r="AM602" s="141"/>
      <c r="AN602" s="141"/>
      <c r="AO602" s="141"/>
      <c r="AP602" s="141"/>
      <c r="AQ602" s="141"/>
      <c r="AR602" s="141"/>
      <c r="AS602" s="141"/>
      <c r="AT602" s="141"/>
      <c r="AU602" s="141"/>
      <c r="AV602" s="141"/>
      <c r="AW602" s="141"/>
      <c r="AX602" s="141"/>
      <c r="AY602" s="141"/>
      <c r="AZ602" s="141"/>
      <c r="BA602" s="141"/>
    </row>
    <row r="603" ht="30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  <c r="AL603" s="141"/>
      <c r="AM603" s="141"/>
      <c r="AN603" s="141"/>
      <c r="AO603" s="141"/>
      <c r="AP603" s="141"/>
      <c r="AQ603" s="141"/>
      <c r="AR603" s="141"/>
      <c r="AS603" s="141"/>
      <c r="AT603" s="141"/>
      <c r="AU603" s="141"/>
      <c r="AV603" s="141"/>
      <c r="AW603" s="141"/>
      <c r="AX603" s="141"/>
      <c r="AY603" s="141"/>
      <c r="AZ603" s="141"/>
      <c r="BA603" s="141"/>
    </row>
    <row r="604" ht="30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  <c r="AL604" s="141"/>
      <c r="AM604" s="141"/>
      <c r="AN604" s="141"/>
      <c r="AO604" s="141"/>
      <c r="AP604" s="141"/>
      <c r="AQ604" s="141"/>
      <c r="AR604" s="141"/>
      <c r="AS604" s="141"/>
      <c r="AT604" s="141"/>
      <c r="AU604" s="141"/>
      <c r="AV604" s="141"/>
      <c r="AW604" s="141"/>
      <c r="AX604" s="141"/>
      <c r="AY604" s="141"/>
      <c r="AZ604" s="141"/>
      <c r="BA604" s="141"/>
    </row>
    <row r="605" ht="30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  <c r="AL605" s="141"/>
      <c r="AM605" s="141"/>
      <c r="AN605" s="141"/>
      <c r="AO605" s="141"/>
      <c r="AP605" s="141"/>
      <c r="AQ605" s="141"/>
      <c r="AR605" s="141"/>
      <c r="AS605" s="141"/>
      <c r="AT605" s="141"/>
      <c r="AU605" s="141"/>
      <c r="AV605" s="141"/>
      <c r="AW605" s="141"/>
      <c r="AX605" s="141"/>
      <c r="AY605" s="141"/>
      <c r="AZ605" s="141"/>
      <c r="BA605" s="141"/>
    </row>
    <row r="606" ht="30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  <c r="AL606" s="141"/>
      <c r="AM606" s="141"/>
      <c r="AN606" s="141"/>
      <c r="AO606" s="141"/>
      <c r="AP606" s="141"/>
      <c r="AQ606" s="141"/>
      <c r="AR606" s="141"/>
      <c r="AS606" s="141"/>
      <c r="AT606" s="141"/>
      <c r="AU606" s="141"/>
      <c r="AV606" s="141"/>
      <c r="AW606" s="141"/>
      <c r="AX606" s="141"/>
      <c r="AY606" s="141"/>
      <c r="AZ606" s="141"/>
      <c r="BA606" s="141"/>
    </row>
    <row r="607" ht="30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  <c r="AL607" s="141"/>
      <c r="AM607" s="141"/>
      <c r="AN607" s="141"/>
      <c r="AO607" s="141"/>
      <c r="AP607" s="141"/>
      <c r="AQ607" s="141"/>
      <c r="AR607" s="141"/>
      <c r="AS607" s="141"/>
      <c r="AT607" s="141"/>
      <c r="AU607" s="141"/>
      <c r="AV607" s="141"/>
      <c r="AW607" s="141"/>
      <c r="AX607" s="141"/>
      <c r="AY607" s="141"/>
      <c r="AZ607" s="141"/>
      <c r="BA607" s="141"/>
    </row>
    <row r="608" ht="30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  <c r="AL608" s="141"/>
      <c r="AM608" s="141"/>
      <c r="AN608" s="141"/>
      <c r="AO608" s="141"/>
      <c r="AP608" s="141"/>
      <c r="AQ608" s="141"/>
      <c r="AR608" s="141"/>
      <c r="AS608" s="141"/>
      <c r="AT608" s="141"/>
      <c r="AU608" s="141"/>
      <c r="AV608" s="141"/>
      <c r="AW608" s="141"/>
      <c r="AX608" s="141"/>
      <c r="AY608" s="141"/>
      <c r="AZ608" s="141"/>
      <c r="BA608" s="141"/>
    </row>
    <row r="609" ht="30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  <c r="AL609" s="141"/>
      <c r="AM609" s="141"/>
      <c r="AN609" s="141"/>
      <c r="AO609" s="141"/>
      <c r="AP609" s="141"/>
      <c r="AQ609" s="141"/>
      <c r="AR609" s="141"/>
      <c r="AS609" s="141"/>
      <c r="AT609" s="141"/>
      <c r="AU609" s="141"/>
      <c r="AV609" s="141"/>
      <c r="AW609" s="141"/>
      <c r="AX609" s="141"/>
      <c r="AY609" s="141"/>
      <c r="AZ609" s="141"/>
      <c r="BA609" s="141"/>
    </row>
    <row r="610" ht="30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  <c r="AL610" s="141"/>
      <c r="AM610" s="141"/>
      <c r="AN610" s="141"/>
      <c r="AO610" s="141"/>
      <c r="AP610" s="141"/>
      <c r="AQ610" s="141"/>
      <c r="AR610" s="141"/>
      <c r="AS610" s="141"/>
      <c r="AT610" s="141"/>
      <c r="AU610" s="141"/>
      <c r="AV610" s="141"/>
      <c r="AW610" s="141"/>
      <c r="AX610" s="141"/>
      <c r="AY610" s="141"/>
      <c r="AZ610" s="141"/>
      <c r="BA610" s="141"/>
    </row>
    <row r="611" ht="30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  <c r="AL611" s="141"/>
      <c r="AM611" s="141"/>
      <c r="AN611" s="141"/>
      <c r="AO611" s="141"/>
      <c r="AP611" s="141"/>
      <c r="AQ611" s="141"/>
      <c r="AR611" s="141"/>
      <c r="AS611" s="141"/>
      <c r="AT611" s="141"/>
      <c r="AU611" s="141"/>
      <c r="AV611" s="141"/>
      <c r="AW611" s="141"/>
      <c r="AX611" s="141"/>
      <c r="AY611" s="141"/>
      <c r="AZ611" s="141"/>
      <c r="BA611" s="141"/>
    </row>
    <row r="612" ht="30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1"/>
      <c r="AM612" s="141"/>
      <c r="AN612" s="141"/>
      <c r="AO612" s="141"/>
      <c r="AP612" s="141"/>
      <c r="AQ612" s="141"/>
      <c r="AR612" s="141"/>
      <c r="AS612" s="141"/>
      <c r="AT612" s="141"/>
      <c r="AU612" s="141"/>
      <c r="AV612" s="141"/>
      <c r="AW612" s="141"/>
      <c r="AX612" s="141"/>
      <c r="AY612" s="141"/>
      <c r="AZ612" s="141"/>
      <c r="BA612" s="141"/>
    </row>
    <row r="613" ht="30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  <c r="AL613" s="141"/>
      <c r="AM613" s="141"/>
      <c r="AN613" s="141"/>
      <c r="AO613" s="141"/>
      <c r="AP613" s="141"/>
      <c r="AQ613" s="141"/>
      <c r="AR613" s="141"/>
      <c r="AS613" s="141"/>
      <c r="AT613" s="141"/>
      <c r="AU613" s="141"/>
      <c r="AV613" s="141"/>
      <c r="AW613" s="141"/>
      <c r="AX613" s="141"/>
      <c r="AY613" s="141"/>
      <c r="AZ613" s="141"/>
      <c r="BA613" s="141"/>
    </row>
    <row r="614" ht="30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  <c r="AL614" s="141"/>
      <c r="AM614" s="141"/>
      <c r="AN614" s="141"/>
      <c r="AO614" s="141"/>
      <c r="AP614" s="141"/>
      <c r="AQ614" s="141"/>
      <c r="AR614" s="141"/>
      <c r="AS614" s="141"/>
      <c r="AT614" s="141"/>
      <c r="AU614" s="141"/>
      <c r="AV614" s="141"/>
      <c r="AW614" s="141"/>
      <c r="AX614" s="141"/>
      <c r="AY614" s="141"/>
      <c r="AZ614" s="141"/>
      <c r="BA614" s="141"/>
    </row>
    <row r="615" ht="30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  <c r="AL615" s="141"/>
      <c r="AM615" s="141"/>
      <c r="AN615" s="141"/>
      <c r="AO615" s="141"/>
      <c r="AP615" s="141"/>
      <c r="AQ615" s="141"/>
      <c r="AR615" s="141"/>
      <c r="AS615" s="141"/>
      <c r="AT615" s="141"/>
      <c r="AU615" s="141"/>
      <c r="AV615" s="141"/>
      <c r="AW615" s="141"/>
      <c r="AX615" s="141"/>
      <c r="AY615" s="141"/>
      <c r="AZ615" s="141"/>
      <c r="BA615" s="141"/>
    </row>
    <row r="616" ht="30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  <c r="AL616" s="141"/>
      <c r="AM616" s="141"/>
      <c r="AN616" s="141"/>
      <c r="AO616" s="141"/>
      <c r="AP616" s="141"/>
      <c r="AQ616" s="141"/>
      <c r="AR616" s="141"/>
      <c r="AS616" s="141"/>
      <c r="AT616" s="141"/>
      <c r="AU616" s="141"/>
      <c r="AV616" s="141"/>
      <c r="AW616" s="141"/>
      <c r="AX616" s="141"/>
      <c r="AY616" s="141"/>
      <c r="AZ616" s="141"/>
      <c r="BA616" s="141"/>
    </row>
    <row r="617" ht="30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  <c r="AL617" s="141"/>
      <c r="AM617" s="141"/>
      <c r="AN617" s="141"/>
      <c r="AO617" s="141"/>
      <c r="AP617" s="141"/>
      <c r="AQ617" s="141"/>
      <c r="AR617" s="141"/>
      <c r="AS617" s="141"/>
      <c r="AT617" s="141"/>
      <c r="AU617" s="141"/>
      <c r="AV617" s="141"/>
      <c r="AW617" s="141"/>
      <c r="AX617" s="141"/>
      <c r="AY617" s="141"/>
      <c r="AZ617" s="141"/>
      <c r="BA617" s="141"/>
    </row>
    <row r="618" ht="30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  <c r="AL618" s="141"/>
      <c r="AM618" s="141"/>
      <c r="AN618" s="141"/>
      <c r="AO618" s="141"/>
      <c r="AP618" s="141"/>
      <c r="AQ618" s="141"/>
      <c r="AR618" s="141"/>
      <c r="AS618" s="141"/>
      <c r="AT618" s="141"/>
      <c r="AU618" s="141"/>
      <c r="AV618" s="141"/>
      <c r="AW618" s="141"/>
      <c r="AX618" s="141"/>
      <c r="AY618" s="141"/>
      <c r="AZ618" s="141"/>
      <c r="BA618" s="141"/>
    </row>
    <row r="619" ht="30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  <c r="AL619" s="141"/>
      <c r="AM619" s="141"/>
      <c r="AN619" s="141"/>
      <c r="AO619" s="141"/>
      <c r="AP619" s="141"/>
      <c r="AQ619" s="141"/>
      <c r="AR619" s="141"/>
      <c r="AS619" s="141"/>
      <c r="AT619" s="141"/>
      <c r="AU619" s="141"/>
      <c r="AV619" s="141"/>
      <c r="AW619" s="141"/>
      <c r="AX619" s="141"/>
      <c r="AY619" s="141"/>
      <c r="AZ619" s="141"/>
      <c r="BA619" s="141"/>
    </row>
    <row r="620" ht="30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  <c r="AL620" s="141"/>
      <c r="AM620" s="141"/>
      <c r="AN620" s="141"/>
      <c r="AO620" s="141"/>
      <c r="AP620" s="141"/>
      <c r="AQ620" s="141"/>
      <c r="AR620" s="141"/>
      <c r="AS620" s="141"/>
      <c r="AT620" s="141"/>
      <c r="AU620" s="141"/>
      <c r="AV620" s="141"/>
      <c r="AW620" s="141"/>
      <c r="AX620" s="141"/>
      <c r="AY620" s="141"/>
      <c r="AZ620" s="141"/>
      <c r="BA620" s="141"/>
    </row>
    <row r="621" ht="30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  <c r="AL621" s="141"/>
      <c r="AM621" s="141"/>
      <c r="AN621" s="141"/>
      <c r="AO621" s="141"/>
      <c r="AP621" s="141"/>
      <c r="AQ621" s="141"/>
      <c r="AR621" s="141"/>
      <c r="AS621" s="141"/>
      <c r="AT621" s="141"/>
      <c r="AU621" s="141"/>
      <c r="AV621" s="141"/>
      <c r="AW621" s="141"/>
      <c r="AX621" s="141"/>
      <c r="AY621" s="141"/>
      <c r="AZ621" s="141"/>
      <c r="BA621" s="141"/>
    </row>
    <row r="622" ht="30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  <c r="AL622" s="141"/>
      <c r="AM622" s="141"/>
      <c r="AN622" s="141"/>
      <c r="AO622" s="141"/>
      <c r="AP622" s="141"/>
      <c r="AQ622" s="141"/>
      <c r="AR622" s="141"/>
      <c r="AS622" s="141"/>
      <c r="AT622" s="141"/>
      <c r="AU622" s="141"/>
      <c r="AV622" s="141"/>
      <c r="AW622" s="141"/>
      <c r="AX622" s="141"/>
      <c r="AY622" s="141"/>
      <c r="AZ622" s="141"/>
      <c r="BA622" s="141"/>
    </row>
    <row r="623" ht="30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  <c r="AL623" s="141"/>
      <c r="AM623" s="141"/>
      <c r="AN623" s="141"/>
      <c r="AO623" s="141"/>
      <c r="AP623" s="141"/>
      <c r="AQ623" s="141"/>
      <c r="AR623" s="141"/>
      <c r="AS623" s="141"/>
      <c r="AT623" s="141"/>
      <c r="AU623" s="141"/>
      <c r="AV623" s="141"/>
      <c r="AW623" s="141"/>
      <c r="AX623" s="141"/>
      <c r="AY623" s="141"/>
      <c r="AZ623" s="141"/>
      <c r="BA623" s="141"/>
    </row>
    <row r="624" ht="30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  <c r="AL624" s="141"/>
      <c r="AM624" s="141"/>
      <c r="AN624" s="141"/>
      <c r="AO624" s="141"/>
      <c r="AP624" s="141"/>
      <c r="AQ624" s="141"/>
      <c r="AR624" s="141"/>
      <c r="AS624" s="141"/>
      <c r="AT624" s="141"/>
      <c r="AU624" s="141"/>
      <c r="AV624" s="141"/>
      <c r="AW624" s="141"/>
      <c r="AX624" s="141"/>
      <c r="AY624" s="141"/>
      <c r="AZ624" s="141"/>
      <c r="BA624" s="141"/>
    </row>
    <row r="625" ht="30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  <c r="AL625" s="141"/>
      <c r="AM625" s="141"/>
      <c r="AN625" s="141"/>
      <c r="AO625" s="141"/>
      <c r="AP625" s="141"/>
      <c r="AQ625" s="141"/>
      <c r="AR625" s="141"/>
      <c r="AS625" s="141"/>
      <c r="AT625" s="141"/>
      <c r="AU625" s="141"/>
      <c r="AV625" s="141"/>
      <c r="AW625" s="141"/>
      <c r="AX625" s="141"/>
      <c r="AY625" s="141"/>
      <c r="AZ625" s="141"/>
      <c r="BA625" s="141"/>
    </row>
    <row r="626" ht="30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  <c r="AL626" s="141"/>
      <c r="AM626" s="141"/>
      <c r="AN626" s="141"/>
      <c r="AO626" s="141"/>
      <c r="AP626" s="141"/>
      <c r="AQ626" s="141"/>
      <c r="AR626" s="141"/>
      <c r="AS626" s="141"/>
      <c r="AT626" s="141"/>
      <c r="AU626" s="141"/>
      <c r="AV626" s="141"/>
      <c r="AW626" s="141"/>
      <c r="AX626" s="141"/>
      <c r="AY626" s="141"/>
      <c r="AZ626" s="141"/>
      <c r="BA626" s="141"/>
    </row>
    <row r="627" ht="30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  <c r="AL627" s="141"/>
      <c r="AM627" s="141"/>
      <c r="AN627" s="141"/>
      <c r="AO627" s="141"/>
      <c r="AP627" s="141"/>
      <c r="AQ627" s="141"/>
      <c r="AR627" s="141"/>
      <c r="AS627" s="141"/>
      <c r="AT627" s="141"/>
      <c r="AU627" s="141"/>
      <c r="AV627" s="141"/>
      <c r="AW627" s="141"/>
      <c r="AX627" s="141"/>
      <c r="AY627" s="141"/>
      <c r="AZ627" s="141"/>
      <c r="BA627" s="141"/>
    </row>
    <row r="628" ht="30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  <c r="AL628" s="141"/>
      <c r="AM628" s="141"/>
      <c r="AN628" s="141"/>
      <c r="AO628" s="141"/>
      <c r="AP628" s="141"/>
      <c r="AQ628" s="141"/>
      <c r="AR628" s="141"/>
      <c r="AS628" s="141"/>
      <c r="AT628" s="141"/>
      <c r="AU628" s="141"/>
      <c r="AV628" s="141"/>
      <c r="AW628" s="141"/>
      <c r="AX628" s="141"/>
      <c r="AY628" s="141"/>
      <c r="AZ628" s="141"/>
      <c r="BA628" s="141"/>
    </row>
    <row r="629" ht="30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  <c r="AL629" s="141"/>
      <c r="AM629" s="141"/>
      <c r="AN629" s="141"/>
      <c r="AO629" s="141"/>
      <c r="AP629" s="141"/>
      <c r="AQ629" s="141"/>
      <c r="AR629" s="141"/>
      <c r="AS629" s="141"/>
      <c r="AT629" s="141"/>
      <c r="AU629" s="141"/>
      <c r="AV629" s="141"/>
      <c r="AW629" s="141"/>
      <c r="AX629" s="141"/>
      <c r="AY629" s="141"/>
      <c r="AZ629" s="141"/>
      <c r="BA629" s="141"/>
    </row>
    <row r="630" ht="30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  <c r="AL630" s="141"/>
      <c r="AM630" s="141"/>
      <c r="AN630" s="141"/>
      <c r="AO630" s="141"/>
      <c r="AP630" s="141"/>
      <c r="AQ630" s="141"/>
      <c r="AR630" s="141"/>
      <c r="AS630" s="141"/>
      <c r="AT630" s="141"/>
      <c r="AU630" s="141"/>
      <c r="AV630" s="141"/>
      <c r="AW630" s="141"/>
      <c r="AX630" s="141"/>
      <c r="AY630" s="141"/>
      <c r="AZ630" s="141"/>
      <c r="BA630" s="141"/>
    </row>
    <row r="631" ht="30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  <c r="AL631" s="141"/>
      <c r="AM631" s="141"/>
      <c r="AN631" s="141"/>
      <c r="AO631" s="141"/>
      <c r="AP631" s="141"/>
      <c r="AQ631" s="141"/>
      <c r="AR631" s="141"/>
      <c r="AS631" s="141"/>
      <c r="AT631" s="141"/>
      <c r="AU631" s="141"/>
      <c r="AV631" s="141"/>
      <c r="AW631" s="141"/>
      <c r="AX631" s="141"/>
      <c r="AY631" s="141"/>
      <c r="AZ631" s="141"/>
      <c r="BA631" s="141"/>
    </row>
    <row r="632" ht="30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  <c r="AL632" s="141"/>
      <c r="AM632" s="141"/>
      <c r="AN632" s="141"/>
      <c r="AO632" s="141"/>
      <c r="AP632" s="141"/>
      <c r="AQ632" s="141"/>
      <c r="AR632" s="141"/>
      <c r="AS632" s="141"/>
      <c r="AT632" s="141"/>
      <c r="AU632" s="141"/>
      <c r="AV632" s="141"/>
      <c r="AW632" s="141"/>
      <c r="AX632" s="141"/>
      <c r="AY632" s="141"/>
      <c r="AZ632" s="141"/>
      <c r="BA632" s="141"/>
    </row>
    <row r="633" ht="30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  <c r="AL633" s="141"/>
      <c r="AM633" s="141"/>
      <c r="AN633" s="141"/>
      <c r="AO633" s="141"/>
      <c r="AP633" s="141"/>
      <c r="AQ633" s="141"/>
      <c r="AR633" s="141"/>
      <c r="AS633" s="141"/>
      <c r="AT633" s="141"/>
      <c r="AU633" s="141"/>
      <c r="AV633" s="141"/>
      <c r="AW633" s="141"/>
      <c r="AX633" s="141"/>
      <c r="AY633" s="141"/>
      <c r="AZ633" s="141"/>
      <c r="BA633" s="141"/>
    </row>
    <row r="634" ht="30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  <c r="AL634" s="141"/>
      <c r="AM634" s="141"/>
      <c r="AN634" s="141"/>
      <c r="AO634" s="141"/>
      <c r="AP634" s="141"/>
      <c r="AQ634" s="141"/>
      <c r="AR634" s="141"/>
      <c r="AS634" s="141"/>
      <c r="AT634" s="141"/>
      <c r="AU634" s="141"/>
      <c r="AV634" s="141"/>
      <c r="AW634" s="141"/>
      <c r="AX634" s="141"/>
      <c r="AY634" s="141"/>
      <c r="AZ634" s="141"/>
      <c r="BA634" s="141"/>
    </row>
    <row r="635" ht="30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  <c r="AM635" s="141"/>
      <c r="AN635" s="141"/>
      <c r="AO635" s="141"/>
      <c r="AP635" s="141"/>
      <c r="AQ635" s="141"/>
      <c r="AR635" s="141"/>
      <c r="AS635" s="141"/>
      <c r="AT635" s="141"/>
      <c r="AU635" s="141"/>
      <c r="AV635" s="141"/>
      <c r="AW635" s="141"/>
      <c r="AX635" s="141"/>
      <c r="AY635" s="141"/>
      <c r="AZ635" s="141"/>
      <c r="BA635" s="141"/>
    </row>
    <row r="636" ht="30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1"/>
      <c r="AM636" s="141"/>
      <c r="AN636" s="141"/>
      <c r="AO636" s="141"/>
      <c r="AP636" s="141"/>
      <c r="AQ636" s="141"/>
      <c r="AR636" s="141"/>
      <c r="AS636" s="141"/>
      <c r="AT636" s="141"/>
      <c r="AU636" s="141"/>
      <c r="AV636" s="141"/>
      <c r="AW636" s="141"/>
      <c r="AX636" s="141"/>
      <c r="AY636" s="141"/>
      <c r="AZ636" s="141"/>
      <c r="BA636" s="141"/>
    </row>
    <row r="637" ht="30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1"/>
      <c r="AM637" s="141"/>
      <c r="AN637" s="141"/>
      <c r="AO637" s="141"/>
      <c r="AP637" s="141"/>
      <c r="AQ637" s="141"/>
      <c r="AR637" s="141"/>
      <c r="AS637" s="141"/>
      <c r="AT637" s="141"/>
      <c r="AU637" s="141"/>
      <c r="AV637" s="141"/>
      <c r="AW637" s="141"/>
      <c r="AX637" s="141"/>
      <c r="AY637" s="141"/>
      <c r="AZ637" s="141"/>
      <c r="BA637" s="141"/>
    </row>
    <row r="638" ht="30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  <c r="AL638" s="141"/>
      <c r="AM638" s="141"/>
      <c r="AN638" s="141"/>
      <c r="AO638" s="141"/>
      <c r="AP638" s="141"/>
      <c r="AQ638" s="141"/>
      <c r="AR638" s="141"/>
      <c r="AS638" s="141"/>
      <c r="AT638" s="141"/>
      <c r="AU638" s="141"/>
      <c r="AV638" s="141"/>
      <c r="AW638" s="141"/>
      <c r="AX638" s="141"/>
      <c r="AY638" s="141"/>
      <c r="AZ638" s="141"/>
      <c r="BA638" s="141"/>
    </row>
    <row r="639" ht="30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  <c r="AL639" s="141"/>
      <c r="AM639" s="141"/>
      <c r="AN639" s="141"/>
      <c r="AO639" s="141"/>
      <c r="AP639" s="141"/>
      <c r="AQ639" s="141"/>
      <c r="AR639" s="141"/>
      <c r="AS639" s="141"/>
      <c r="AT639" s="141"/>
      <c r="AU639" s="141"/>
      <c r="AV639" s="141"/>
      <c r="AW639" s="141"/>
      <c r="AX639" s="141"/>
      <c r="AY639" s="141"/>
      <c r="AZ639" s="141"/>
      <c r="BA639" s="141"/>
    </row>
    <row r="640" ht="30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  <c r="AL640" s="141"/>
      <c r="AM640" s="141"/>
      <c r="AN640" s="141"/>
      <c r="AO640" s="141"/>
      <c r="AP640" s="141"/>
      <c r="AQ640" s="141"/>
      <c r="AR640" s="141"/>
      <c r="AS640" s="141"/>
      <c r="AT640" s="141"/>
      <c r="AU640" s="141"/>
      <c r="AV640" s="141"/>
      <c r="AW640" s="141"/>
      <c r="AX640" s="141"/>
      <c r="AY640" s="141"/>
      <c r="AZ640" s="141"/>
      <c r="BA640" s="141"/>
    </row>
    <row r="641" ht="30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  <c r="AL641" s="141"/>
      <c r="AM641" s="141"/>
      <c r="AN641" s="141"/>
      <c r="AO641" s="141"/>
      <c r="AP641" s="141"/>
      <c r="AQ641" s="141"/>
      <c r="AR641" s="141"/>
      <c r="AS641" s="141"/>
      <c r="AT641" s="141"/>
      <c r="AU641" s="141"/>
      <c r="AV641" s="141"/>
      <c r="AW641" s="141"/>
      <c r="AX641" s="141"/>
      <c r="AY641" s="141"/>
      <c r="AZ641" s="141"/>
      <c r="BA641" s="141"/>
    </row>
    <row r="642" ht="30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  <c r="AL642" s="141"/>
      <c r="AM642" s="141"/>
      <c r="AN642" s="141"/>
      <c r="AO642" s="141"/>
      <c r="AP642" s="141"/>
      <c r="AQ642" s="141"/>
      <c r="AR642" s="141"/>
      <c r="AS642" s="141"/>
      <c r="AT642" s="141"/>
      <c r="AU642" s="141"/>
      <c r="AV642" s="141"/>
      <c r="AW642" s="141"/>
      <c r="AX642" s="141"/>
      <c r="AY642" s="141"/>
      <c r="AZ642" s="141"/>
      <c r="BA642" s="141"/>
    </row>
    <row r="643" ht="30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  <c r="AL643" s="141"/>
      <c r="AM643" s="141"/>
      <c r="AN643" s="141"/>
      <c r="AO643" s="141"/>
      <c r="AP643" s="141"/>
      <c r="AQ643" s="141"/>
      <c r="AR643" s="141"/>
      <c r="AS643" s="141"/>
      <c r="AT643" s="141"/>
      <c r="AU643" s="141"/>
      <c r="AV643" s="141"/>
      <c r="AW643" s="141"/>
      <c r="AX643" s="141"/>
      <c r="AY643" s="141"/>
      <c r="AZ643" s="141"/>
      <c r="BA643" s="141"/>
    </row>
    <row r="644" ht="30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  <c r="AL644" s="141"/>
      <c r="AM644" s="141"/>
      <c r="AN644" s="141"/>
      <c r="AO644" s="141"/>
      <c r="AP644" s="141"/>
      <c r="AQ644" s="141"/>
      <c r="AR644" s="141"/>
      <c r="AS644" s="141"/>
      <c r="AT644" s="141"/>
      <c r="AU644" s="141"/>
      <c r="AV644" s="141"/>
      <c r="AW644" s="141"/>
      <c r="AX644" s="141"/>
      <c r="AY644" s="141"/>
      <c r="AZ644" s="141"/>
      <c r="BA644" s="141"/>
    </row>
    <row r="645" ht="30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  <c r="AL645" s="141"/>
      <c r="AM645" s="141"/>
      <c r="AN645" s="141"/>
      <c r="AO645" s="141"/>
      <c r="AP645" s="141"/>
      <c r="AQ645" s="141"/>
      <c r="AR645" s="141"/>
      <c r="AS645" s="141"/>
      <c r="AT645" s="141"/>
      <c r="AU645" s="141"/>
      <c r="AV645" s="141"/>
      <c r="AW645" s="141"/>
      <c r="AX645" s="141"/>
      <c r="AY645" s="141"/>
      <c r="AZ645" s="141"/>
      <c r="BA645" s="141"/>
    </row>
    <row r="646" ht="30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  <c r="AL646" s="141"/>
      <c r="AM646" s="141"/>
      <c r="AN646" s="141"/>
      <c r="AO646" s="141"/>
      <c r="AP646" s="141"/>
      <c r="AQ646" s="141"/>
      <c r="AR646" s="141"/>
      <c r="AS646" s="141"/>
      <c r="AT646" s="141"/>
      <c r="AU646" s="141"/>
      <c r="AV646" s="141"/>
      <c r="AW646" s="141"/>
      <c r="AX646" s="141"/>
      <c r="AY646" s="141"/>
      <c r="AZ646" s="141"/>
      <c r="BA646" s="141"/>
    </row>
    <row r="647" ht="30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  <c r="AL647" s="141"/>
      <c r="AM647" s="141"/>
      <c r="AN647" s="141"/>
      <c r="AO647" s="141"/>
      <c r="AP647" s="141"/>
      <c r="AQ647" s="141"/>
      <c r="AR647" s="141"/>
      <c r="AS647" s="141"/>
      <c r="AT647" s="141"/>
      <c r="AU647" s="141"/>
      <c r="AV647" s="141"/>
      <c r="AW647" s="141"/>
      <c r="AX647" s="141"/>
      <c r="AY647" s="141"/>
      <c r="AZ647" s="141"/>
      <c r="BA647" s="141"/>
    </row>
    <row r="648" ht="30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  <c r="AL648" s="141"/>
      <c r="AM648" s="141"/>
      <c r="AN648" s="141"/>
      <c r="AO648" s="141"/>
      <c r="AP648" s="141"/>
      <c r="AQ648" s="141"/>
      <c r="AR648" s="141"/>
      <c r="AS648" s="141"/>
      <c r="AT648" s="141"/>
      <c r="AU648" s="141"/>
      <c r="AV648" s="141"/>
      <c r="AW648" s="141"/>
      <c r="AX648" s="141"/>
      <c r="AY648" s="141"/>
      <c r="AZ648" s="141"/>
      <c r="BA648" s="141"/>
    </row>
    <row r="649" ht="30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  <c r="AL649" s="141"/>
      <c r="AM649" s="141"/>
      <c r="AN649" s="141"/>
      <c r="AO649" s="141"/>
      <c r="AP649" s="141"/>
      <c r="AQ649" s="141"/>
      <c r="AR649" s="141"/>
      <c r="AS649" s="141"/>
      <c r="AT649" s="141"/>
      <c r="AU649" s="141"/>
      <c r="AV649" s="141"/>
      <c r="AW649" s="141"/>
      <c r="AX649" s="141"/>
      <c r="AY649" s="141"/>
      <c r="AZ649" s="141"/>
      <c r="BA649" s="141"/>
    </row>
  </sheetData>
  <autoFilter ref="$A$2:$BA$449">
    <sortState ref="A2:BA449">
      <sortCondition ref="J2:J449"/>
    </sortState>
  </autoFilter>
  <mergeCells count="2">
    <mergeCell ref="O1:AP1"/>
    <mergeCell ref="AQ1:AY1"/>
  </mergeCells>
  <conditionalFormatting sqref="AS63:AS73 AT78 AS126:AS128 AS153:AS155 AS165:AS167 AS276:AS294 AS301 AS324:AS334 AS341:AS342 AS359:AS360">
    <cfRule type="cellIs" dxfId="0" priority="1" operator="lessThanOrEqual">
      <formula>$AX$4</formula>
    </cfRule>
  </conditionalFormatting>
  <conditionalFormatting sqref="AS294:AS301">
    <cfRule type="cellIs" dxfId="0" priority="2" operator="lessThanOrEqual">
      <formula>$AZ$4</formula>
    </cfRule>
  </conditionalFormatting>
  <conditionalFormatting sqref="AS439">
    <cfRule type="cellIs" dxfId="0" priority="3" operator="lessThanOrEqual">
      <formula>$AX$3</formula>
    </cfRule>
  </conditionalFormatting>
  <dataValidations>
    <dataValidation type="list" allowBlank="1" showErrorMessage="1" sqref="A6:A8 A11 A13:A14 A55 A64:A73 A78:A80 A93 A97:A98 A101 A187:A192 A220 A228 A246 A258 A300 A308 A318 A368:A369 A410 A420 A432:A434">
      <formula1>"มาใหม่,สูญหาย,ถูกต้องแล้ว,ย้าย,ชำรุด"</formula1>
    </dataValidation>
    <dataValidation type="list" allowBlank="1" showErrorMessage="1" sqref="B3:B147 B149:B171 B173:B175 B177:B218 B220:B222 B224:B437 B440:B449">
      <formula1>"ต้องการ,ไม่ต้องการ"</formula1>
    </dataValidation>
    <dataValidation type="list" allowBlank="1" showErrorMessage="1" sqref="A3:A5 A9:A10 A12 A15:A54 A56:A63 A74:A77 A81:A92 A94:A96 A99:A100 A102:A147 A149:A186 A193:A219 A221:A227 A229:A245 A247:A257 A259:A299 A301:A307 A309:A317 A319:A367 A370:A409 A411:A419 A421:A431 A435:A449">
      <formula1>"มาใหม่,สูญหาย,ถูกต้องแล้ว,ย้าย"</formula1>
    </dataValidation>
  </dataValidations>
  <hyperlinks>
    <hyperlink r:id="rId2" ref="BA84"/>
    <hyperlink r:id="rId3" ref="BA115"/>
    <hyperlink r:id="rId4" ref="BA265"/>
  </hyperlinks>
  <printOptions/>
  <pageMargins bottom="0.75" footer="0.0" header="0.0" left="0.7" right="0.7" top="0.75"/>
  <pageSetup orientation="landscape"/>
  <drawing r:id="rId5"/>
  <legacyDrawing r:id="rId6"/>
</worksheet>
</file>